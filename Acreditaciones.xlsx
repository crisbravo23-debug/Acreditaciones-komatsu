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lobalkomatsu-my.sharepoint.com/personal/cristopher_bravo_global_komatsu/Documents/Escritorio/Control Acreditaciones Komatsu RT/"/>
    </mc:Choice>
  </mc:AlternateContent>
  <xr:revisionPtr revIDLastSave="7911" documentId="13_ncr:1_{66A68CD9-05F8-42AC-9063-03ADE5C4CDB6}" xr6:coauthVersionLast="47" xr6:coauthVersionMax="47" xr10:uidLastSave="{AFE44AE0-A3C8-476E-B8A1-366D99960CFF}"/>
  <bookViews>
    <workbookView xWindow="9510" yWindow="0" windowWidth="9780" windowHeight="11370" tabRatio="652" xr2:uid="{65B9BD66-D139-4FEB-A417-67A6E56DE6BC}"/>
  </bookViews>
  <sheets>
    <sheet name="MATRIZ" sheetId="18" r:id="rId1"/>
    <sheet name="ACREDITACIONES " sheetId="20" r:id="rId2"/>
  </sheets>
  <externalReferences>
    <externalReference r:id="rId3"/>
    <externalReference r:id="rId4"/>
    <externalReference r:id="rId5"/>
  </externalReferences>
  <definedNames>
    <definedName name="_xlnm._FilterDatabase" localSheetId="0" hidden="1">MATRIZ!$A$1:$E$306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8" l="1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E179" i="18"/>
  <c r="E180" i="18"/>
  <c r="E181" i="18"/>
  <c r="E182" i="18"/>
  <c r="E183" i="18"/>
  <c r="E184" i="18"/>
  <c r="E185" i="18"/>
  <c r="E186" i="18"/>
  <c r="E187" i="18"/>
  <c r="E188" i="18"/>
  <c r="E189" i="18"/>
  <c r="E190" i="18"/>
  <c r="E191" i="18"/>
  <c r="E192" i="18"/>
  <c r="E193" i="18"/>
  <c r="E194" i="18"/>
  <c r="E195" i="18"/>
  <c r="E196" i="18"/>
  <c r="E197" i="18"/>
  <c r="E198" i="18"/>
  <c r="E199" i="18"/>
  <c r="E200" i="18"/>
  <c r="E201" i="18"/>
  <c r="E202" i="18"/>
  <c r="E203" i="18"/>
  <c r="E204" i="18"/>
  <c r="E205" i="18"/>
  <c r="E206" i="18"/>
  <c r="E207" i="18"/>
  <c r="E208" i="18"/>
  <c r="E209" i="18"/>
  <c r="E210" i="18"/>
  <c r="E211" i="18"/>
  <c r="E212" i="18"/>
  <c r="E213" i="18"/>
  <c r="E214" i="18"/>
  <c r="E215" i="18"/>
  <c r="E216" i="18"/>
  <c r="E217" i="18"/>
  <c r="E218" i="18"/>
  <c r="E219" i="18"/>
  <c r="E220" i="18"/>
  <c r="E221" i="18"/>
  <c r="E222" i="18"/>
  <c r="E223" i="18"/>
  <c r="E224" i="18"/>
  <c r="E225" i="18"/>
  <c r="E226" i="18"/>
  <c r="E227" i="18"/>
  <c r="E228" i="18"/>
  <c r="E229" i="18"/>
  <c r="E230" i="18"/>
  <c r="E231" i="18"/>
  <c r="E232" i="18"/>
  <c r="E233" i="18"/>
  <c r="E234" i="18"/>
  <c r="E235" i="18"/>
  <c r="E236" i="18"/>
  <c r="E237" i="18"/>
  <c r="E238" i="18"/>
  <c r="E239" i="18"/>
  <c r="E240" i="18"/>
  <c r="E241" i="18"/>
  <c r="E242" i="18"/>
  <c r="E243" i="18"/>
  <c r="E244" i="18"/>
  <c r="E245" i="18"/>
  <c r="E246" i="18"/>
  <c r="E247" i="18"/>
  <c r="E248" i="18"/>
  <c r="E249" i="18"/>
  <c r="E250" i="18"/>
  <c r="E251" i="18"/>
  <c r="E252" i="18"/>
  <c r="E253" i="18"/>
  <c r="E254" i="18"/>
  <c r="E255" i="18"/>
  <c r="E256" i="18"/>
  <c r="E257" i="18"/>
  <c r="E258" i="18"/>
  <c r="E259" i="18"/>
  <c r="E260" i="18"/>
  <c r="E261" i="18"/>
  <c r="E262" i="18"/>
  <c r="E263" i="18"/>
  <c r="E264" i="18"/>
  <c r="E265" i="18"/>
  <c r="E266" i="18"/>
  <c r="E267" i="18"/>
  <c r="E268" i="18"/>
  <c r="E269" i="18"/>
  <c r="E270" i="18"/>
  <c r="E271" i="18"/>
  <c r="E272" i="18"/>
  <c r="E273" i="18"/>
  <c r="E274" i="18"/>
  <c r="E275" i="18"/>
  <c r="E276" i="18"/>
  <c r="E277" i="18"/>
  <c r="E278" i="18"/>
  <c r="E279" i="18"/>
  <c r="E280" i="18"/>
  <c r="E281" i="18"/>
  <c r="E282" i="18"/>
  <c r="E283" i="18"/>
  <c r="E284" i="18"/>
  <c r="E285" i="18"/>
  <c r="E286" i="18"/>
  <c r="E287" i="18"/>
  <c r="E288" i="18"/>
  <c r="E289" i="18"/>
  <c r="E290" i="18"/>
  <c r="E291" i="18"/>
  <c r="E292" i="18"/>
  <c r="E293" i="18"/>
  <c r="E294" i="18"/>
  <c r="E295" i="18"/>
  <c r="E296" i="18"/>
  <c r="E297" i="18"/>
  <c r="E298" i="18"/>
  <c r="E299" i="18"/>
  <c r="E300" i="18"/>
  <c r="E301" i="18"/>
  <c r="E302" i="18"/>
  <c r="E303" i="18"/>
  <c r="E304" i="18"/>
  <c r="E305" i="18"/>
  <c r="E306" i="18"/>
  <c r="E2" i="18"/>
  <c r="K2" i="20"/>
  <c r="K3" i="20"/>
  <c r="K4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K67" i="20"/>
  <c r="K68" i="20"/>
  <c r="K69" i="20"/>
  <c r="K70" i="20"/>
  <c r="K71" i="20"/>
  <c r="K72" i="20"/>
  <c r="K73" i="20"/>
  <c r="K74" i="20"/>
  <c r="K75" i="20"/>
  <c r="K76" i="20"/>
  <c r="K77" i="20"/>
  <c r="K78" i="20"/>
  <c r="K79" i="20"/>
  <c r="K80" i="20"/>
  <c r="K81" i="20"/>
  <c r="K82" i="20"/>
  <c r="K83" i="20"/>
  <c r="K84" i="20"/>
  <c r="K85" i="20"/>
  <c r="K86" i="20"/>
  <c r="K87" i="20"/>
  <c r="K88" i="20"/>
  <c r="K89" i="20"/>
  <c r="K90" i="20"/>
  <c r="K91" i="20"/>
  <c r="K92" i="20"/>
  <c r="K93" i="20"/>
  <c r="K94" i="20"/>
  <c r="K95" i="20"/>
  <c r="K96" i="20"/>
  <c r="K97" i="20"/>
  <c r="K98" i="20"/>
  <c r="K99" i="20"/>
  <c r="K100" i="20"/>
  <c r="K101" i="20"/>
  <c r="K102" i="20"/>
  <c r="K103" i="20"/>
  <c r="K104" i="20"/>
  <c r="K105" i="20"/>
  <c r="K106" i="20"/>
  <c r="K107" i="20"/>
  <c r="K108" i="20"/>
  <c r="K109" i="20"/>
  <c r="K110" i="20"/>
  <c r="K111" i="20"/>
  <c r="K112" i="20"/>
  <c r="K113" i="20"/>
  <c r="K114" i="20"/>
  <c r="K115" i="20"/>
  <c r="K116" i="20"/>
  <c r="K117" i="20"/>
  <c r="K118" i="20"/>
  <c r="K119" i="20"/>
  <c r="K120" i="20"/>
  <c r="K121" i="20"/>
  <c r="K122" i="20"/>
  <c r="K123" i="20"/>
  <c r="K124" i="20"/>
  <c r="K125" i="20"/>
  <c r="K126" i="20"/>
  <c r="K127" i="20"/>
  <c r="K128" i="20"/>
  <c r="K129" i="20"/>
  <c r="K130" i="20"/>
  <c r="K131" i="20"/>
  <c r="K132" i="20"/>
  <c r="K133" i="20"/>
  <c r="K134" i="20"/>
  <c r="K135" i="20"/>
  <c r="K136" i="20"/>
  <c r="K137" i="20"/>
  <c r="K138" i="20"/>
  <c r="K139" i="20"/>
  <c r="K140" i="20"/>
  <c r="K141" i="20"/>
  <c r="K142" i="20"/>
  <c r="K143" i="20"/>
  <c r="K144" i="20"/>
  <c r="K145" i="20"/>
  <c r="K146" i="20"/>
  <c r="K147" i="20"/>
  <c r="K148" i="20"/>
  <c r="K149" i="20"/>
  <c r="K150" i="20"/>
  <c r="K151" i="20"/>
  <c r="K152" i="20"/>
  <c r="K153" i="20"/>
  <c r="K154" i="20"/>
  <c r="K155" i="20"/>
  <c r="K156" i="20"/>
  <c r="K157" i="20"/>
  <c r="K158" i="20"/>
  <c r="K159" i="20"/>
  <c r="K160" i="20"/>
  <c r="K161" i="20"/>
  <c r="K162" i="20"/>
  <c r="K163" i="20"/>
  <c r="K164" i="20"/>
  <c r="K165" i="20"/>
  <c r="K166" i="20"/>
  <c r="K167" i="20"/>
  <c r="K168" i="20"/>
  <c r="K169" i="20"/>
  <c r="K170" i="20"/>
  <c r="K171" i="20"/>
  <c r="K172" i="20"/>
  <c r="K173" i="20"/>
  <c r="K174" i="20"/>
  <c r="K175" i="20"/>
  <c r="K176" i="20"/>
  <c r="K177" i="20"/>
  <c r="K178" i="20"/>
  <c r="K179" i="20"/>
  <c r="K180" i="20"/>
  <c r="K181" i="20"/>
  <c r="K182" i="20"/>
  <c r="K183" i="20"/>
  <c r="K184" i="20"/>
  <c r="K185" i="20"/>
  <c r="K186" i="20"/>
  <c r="K187" i="20"/>
  <c r="K188" i="20"/>
  <c r="K189" i="20"/>
  <c r="K190" i="20"/>
  <c r="K191" i="20"/>
  <c r="K192" i="20"/>
  <c r="K193" i="20"/>
  <c r="K194" i="20"/>
  <c r="K195" i="20"/>
  <c r="K196" i="20"/>
  <c r="K197" i="20"/>
  <c r="K198" i="20"/>
  <c r="K199" i="20"/>
  <c r="K200" i="20"/>
  <c r="K201" i="20"/>
  <c r="K202" i="20"/>
  <c r="K203" i="20"/>
  <c r="K204" i="20"/>
  <c r="K205" i="20"/>
  <c r="K206" i="20"/>
  <c r="K207" i="20"/>
  <c r="K208" i="20"/>
  <c r="K209" i="20"/>
  <c r="K210" i="20"/>
  <c r="K211" i="20"/>
  <c r="K212" i="20"/>
  <c r="K213" i="20"/>
  <c r="K214" i="20"/>
  <c r="K215" i="20"/>
  <c r="K216" i="20"/>
  <c r="K217" i="20"/>
  <c r="K218" i="20"/>
  <c r="K219" i="20"/>
  <c r="K220" i="20"/>
  <c r="K221" i="20"/>
  <c r="K222" i="20"/>
  <c r="K223" i="20"/>
  <c r="K224" i="20"/>
  <c r="K225" i="20"/>
  <c r="K226" i="20"/>
  <c r="K227" i="20"/>
  <c r="K228" i="20"/>
  <c r="K229" i="20"/>
  <c r="K230" i="20"/>
  <c r="K231" i="20"/>
  <c r="K232" i="20"/>
  <c r="K233" i="20"/>
  <c r="K234" i="20"/>
  <c r="K235" i="20"/>
  <c r="K236" i="20"/>
  <c r="K237" i="20"/>
  <c r="K238" i="20"/>
  <c r="K239" i="20"/>
  <c r="K240" i="20"/>
  <c r="K241" i="20"/>
  <c r="K242" i="20"/>
  <c r="K243" i="20"/>
  <c r="K244" i="20"/>
  <c r="K245" i="20"/>
  <c r="K246" i="20"/>
  <c r="K247" i="20"/>
  <c r="K248" i="20"/>
  <c r="K249" i="20"/>
  <c r="K250" i="20"/>
  <c r="K251" i="20"/>
  <c r="K252" i="20"/>
  <c r="K253" i="20"/>
  <c r="K254" i="20"/>
  <c r="K255" i="20"/>
  <c r="K256" i="20"/>
  <c r="K257" i="20"/>
  <c r="K258" i="20"/>
  <c r="K259" i="20"/>
  <c r="K260" i="20"/>
  <c r="K261" i="20"/>
  <c r="K262" i="20"/>
  <c r="K263" i="20"/>
  <c r="K264" i="20"/>
  <c r="K265" i="20"/>
  <c r="K266" i="20"/>
  <c r="K267" i="20"/>
  <c r="K268" i="20"/>
  <c r="K269" i="20"/>
  <c r="K270" i="20"/>
  <c r="K271" i="20"/>
  <c r="K272" i="20"/>
  <c r="K273" i="20"/>
  <c r="K274" i="20"/>
  <c r="K275" i="20"/>
  <c r="K276" i="20"/>
  <c r="K277" i="20"/>
  <c r="K278" i="20"/>
  <c r="K279" i="20"/>
  <c r="K280" i="20"/>
  <c r="K281" i="20"/>
  <c r="K282" i="20"/>
  <c r="K283" i="20"/>
  <c r="K284" i="20"/>
  <c r="K285" i="20"/>
  <c r="K286" i="20"/>
  <c r="K287" i="20"/>
  <c r="K288" i="20"/>
  <c r="K289" i="20"/>
  <c r="K290" i="20"/>
  <c r="K291" i="20"/>
  <c r="K292" i="20"/>
  <c r="K293" i="20"/>
  <c r="K294" i="20"/>
  <c r="K295" i="20"/>
  <c r="K296" i="20"/>
  <c r="K297" i="20"/>
  <c r="K298" i="20"/>
  <c r="K299" i="20"/>
  <c r="K300" i="20"/>
  <c r="K301" i="20"/>
  <c r="K302" i="20"/>
  <c r="K303" i="20"/>
  <c r="K304" i="20"/>
  <c r="K305" i="20"/>
  <c r="K306" i="20"/>
  <c r="J2" i="20"/>
  <c r="J3" i="20"/>
  <c r="J4" i="20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1" i="20"/>
  <c r="J52" i="20"/>
  <c r="J53" i="20"/>
  <c r="J54" i="20"/>
  <c r="J55" i="20"/>
  <c r="J56" i="20"/>
  <c r="J57" i="20"/>
  <c r="J58" i="20"/>
  <c r="J59" i="20"/>
  <c r="J60" i="20"/>
  <c r="J61" i="20"/>
  <c r="J62" i="20"/>
  <c r="J63" i="20"/>
  <c r="J64" i="20"/>
  <c r="J65" i="20"/>
  <c r="J66" i="20"/>
  <c r="J67" i="20"/>
  <c r="J68" i="20"/>
  <c r="J69" i="20"/>
  <c r="J70" i="20"/>
  <c r="J71" i="20"/>
  <c r="J72" i="20"/>
  <c r="J73" i="20"/>
  <c r="J74" i="20"/>
  <c r="J75" i="20"/>
  <c r="J76" i="20"/>
  <c r="J77" i="20"/>
  <c r="J78" i="20"/>
  <c r="J79" i="20"/>
  <c r="J80" i="20"/>
  <c r="J81" i="20"/>
  <c r="J82" i="20"/>
  <c r="J83" i="20"/>
  <c r="J84" i="20"/>
  <c r="J85" i="20"/>
  <c r="J86" i="20"/>
  <c r="J87" i="20"/>
  <c r="J88" i="20"/>
  <c r="J89" i="20"/>
  <c r="J90" i="20"/>
  <c r="J91" i="20"/>
  <c r="J92" i="20"/>
  <c r="J93" i="20"/>
  <c r="J94" i="20"/>
  <c r="J95" i="20"/>
  <c r="J96" i="20"/>
  <c r="J97" i="20"/>
  <c r="J98" i="20"/>
  <c r="J99" i="20"/>
  <c r="J100" i="20"/>
  <c r="J101" i="20"/>
  <c r="J102" i="20"/>
  <c r="J103" i="20"/>
  <c r="J104" i="20"/>
  <c r="J105" i="20"/>
  <c r="J106" i="20"/>
  <c r="J107" i="20"/>
  <c r="J108" i="20"/>
  <c r="J109" i="20"/>
  <c r="J110" i="20"/>
  <c r="J111" i="20"/>
  <c r="J112" i="20"/>
  <c r="J113" i="20"/>
  <c r="J114" i="20"/>
  <c r="J115" i="20"/>
  <c r="J116" i="20"/>
  <c r="J117" i="20"/>
  <c r="J118" i="20"/>
  <c r="J119" i="20"/>
  <c r="J120" i="20"/>
  <c r="J121" i="20"/>
  <c r="J122" i="20"/>
  <c r="J123" i="20"/>
  <c r="J124" i="20"/>
  <c r="J125" i="20"/>
  <c r="J126" i="20"/>
  <c r="J127" i="20"/>
  <c r="J128" i="20"/>
  <c r="J129" i="20"/>
  <c r="J130" i="20"/>
  <c r="J131" i="20"/>
  <c r="J132" i="20"/>
  <c r="J133" i="20"/>
  <c r="J134" i="20"/>
  <c r="J135" i="20"/>
  <c r="J136" i="20"/>
  <c r="J137" i="20"/>
  <c r="J138" i="20"/>
  <c r="J139" i="20"/>
  <c r="J140" i="20"/>
  <c r="J141" i="20"/>
  <c r="J142" i="20"/>
  <c r="J143" i="20"/>
  <c r="J144" i="20"/>
  <c r="J145" i="20"/>
  <c r="J146" i="20"/>
  <c r="J147" i="20"/>
  <c r="J148" i="20"/>
  <c r="J149" i="20"/>
  <c r="J150" i="20"/>
  <c r="J151" i="20"/>
  <c r="J152" i="20"/>
  <c r="J153" i="20"/>
  <c r="J154" i="20"/>
  <c r="J155" i="20"/>
  <c r="J156" i="20"/>
  <c r="J157" i="20"/>
  <c r="J158" i="20"/>
  <c r="J159" i="20"/>
  <c r="J160" i="20"/>
  <c r="J161" i="20"/>
  <c r="J162" i="20"/>
  <c r="J163" i="20"/>
  <c r="J164" i="20"/>
  <c r="J165" i="20"/>
  <c r="J166" i="20"/>
  <c r="J167" i="20"/>
  <c r="J168" i="20"/>
  <c r="J169" i="20"/>
  <c r="J170" i="20"/>
  <c r="J171" i="20"/>
  <c r="J172" i="20"/>
  <c r="J173" i="20"/>
  <c r="J174" i="20"/>
  <c r="J175" i="20"/>
  <c r="J176" i="20"/>
  <c r="J177" i="20"/>
  <c r="J178" i="20"/>
  <c r="J179" i="20"/>
  <c r="J180" i="20"/>
  <c r="J181" i="20"/>
  <c r="J182" i="20"/>
  <c r="J183" i="20"/>
  <c r="J184" i="20"/>
  <c r="J185" i="20"/>
  <c r="J186" i="20"/>
  <c r="J187" i="20"/>
  <c r="J188" i="20"/>
  <c r="J189" i="20"/>
  <c r="J190" i="20"/>
  <c r="J191" i="20"/>
  <c r="J192" i="20"/>
  <c r="J193" i="20"/>
  <c r="J194" i="20"/>
  <c r="J195" i="20"/>
  <c r="J196" i="20"/>
  <c r="J197" i="20"/>
  <c r="J198" i="20"/>
  <c r="J199" i="20"/>
  <c r="J200" i="20"/>
  <c r="J201" i="20"/>
  <c r="J202" i="20"/>
  <c r="J203" i="20"/>
  <c r="J204" i="20"/>
  <c r="J205" i="20"/>
  <c r="J206" i="20"/>
  <c r="J207" i="20"/>
  <c r="J208" i="20"/>
  <c r="J209" i="20"/>
  <c r="J210" i="20"/>
  <c r="J211" i="20"/>
  <c r="J212" i="20"/>
  <c r="J213" i="20"/>
  <c r="J214" i="20"/>
  <c r="J215" i="20"/>
  <c r="J216" i="20"/>
  <c r="J217" i="20"/>
  <c r="J218" i="20"/>
  <c r="J219" i="20"/>
  <c r="J220" i="20"/>
  <c r="J221" i="20"/>
  <c r="J222" i="20"/>
  <c r="J223" i="20"/>
  <c r="J224" i="20"/>
  <c r="J225" i="20"/>
  <c r="J226" i="20"/>
  <c r="J227" i="20"/>
  <c r="J228" i="20"/>
  <c r="J229" i="20"/>
  <c r="J230" i="20"/>
  <c r="J231" i="20"/>
  <c r="J232" i="20"/>
  <c r="J233" i="20"/>
  <c r="J234" i="20"/>
  <c r="J235" i="20"/>
  <c r="J236" i="20"/>
  <c r="J237" i="20"/>
  <c r="J238" i="20"/>
  <c r="J239" i="20"/>
  <c r="J240" i="20"/>
  <c r="J241" i="20"/>
  <c r="J242" i="20"/>
  <c r="J243" i="20"/>
  <c r="J244" i="20"/>
  <c r="J245" i="20"/>
  <c r="J246" i="20"/>
  <c r="J247" i="20"/>
  <c r="J248" i="20"/>
  <c r="J249" i="20"/>
  <c r="J250" i="20"/>
  <c r="J251" i="20"/>
  <c r="J252" i="20"/>
  <c r="J253" i="20"/>
  <c r="J254" i="20"/>
  <c r="J255" i="20"/>
  <c r="J256" i="20"/>
  <c r="J257" i="20"/>
  <c r="J258" i="20"/>
  <c r="J259" i="20"/>
  <c r="J260" i="20"/>
  <c r="J261" i="20"/>
  <c r="J262" i="20"/>
  <c r="J263" i="20"/>
  <c r="J264" i="20"/>
  <c r="J265" i="20"/>
  <c r="J266" i="20"/>
  <c r="J267" i="20"/>
  <c r="J268" i="20"/>
  <c r="J269" i="20"/>
  <c r="J270" i="20"/>
  <c r="J271" i="20"/>
  <c r="J272" i="20"/>
  <c r="J273" i="20"/>
  <c r="J274" i="20"/>
  <c r="J275" i="20"/>
  <c r="J276" i="20"/>
  <c r="J277" i="20"/>
  <c r="J278" i="20"/>
  <c r="J279" i="20"/>
  <c r="J280" i="20"/>
  <c r="J281" i="20"/>
  <c r="J282" i="20"/>
  <c r="J283" i="20"/>
  <c r="J284" i="20"/>
  <c r="J285" i="20"/>
  <c r="J286" i="20"/>
  <c r="J287" i="20"/>
  <c r="J288" i="20"/>
  <c r="J289" i="20"/>
  <c r="J290" i="20"/>
  <c r="J291" i="20"/>
  <c r="J292" i="20"/>
  <c r="J293" i="20"/>
  <c r="J294" i="20"/>
  <c r="J295" i="20"/>
  <c r="J296" i="20"/>
  <c r="J297" i="20"/>
  <c r="J298" i="20"/>
  <c r="J299" i="20"/>
  <c r="J300" i="20"/>
  <c r="J301" i="20"/>
  <c r="J302" i="20"/>
  <c r="J303" i="20"/>
  <c r="J304" i="20"/>
  <c r="J305" i="20"/>
  <c r="J306" i="20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163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96" i="18"/>
  <c r="F197" i="18"/>
  <c r="F198" i="18"/>
  <c r="F199" i="18"/>
  <c r="F200" i="18"/>
  <c r="F201" i="18"/>
  <c r="F202" i="18"/>
  <c r="F203" i="18"/>
  <c r="F204" i="18"/>
  <c r="F205" i="18"/>
  <c r="F206" i="18"/>
  <c r="F207" i="18"/>
  <c r="F208" i="18"/>
  <c r="F209" i="18"/>
  <c r="F210" i="18"/>
  <c r="F211" i="18"/>
  <c r="F212" i="18"/>
  <c r="F213" i="18"/>
  <c r="F214" i="18"/>
  <c r="F215" i="18"/>
  <c r="F216" i="18"/>
  <c r="F217" i="18"/>
  <c r="F218" i="18"/>
  <c r="F219" i="18"/>
  <c r="F220" i="18"/>
  <c r="F221" i="18"/>
  <c r="F222" i="18"/>
  <c r="F223" i="18"/>
  <c r="F224" i="18"/>
  <c r="F225" i="18"/>
  <c r="F226" i="18"/>
  <c r="F227" i="18"/>
  <c r="F228" i="18"/>
  <c r="F229" i="18"/>
  <c r="F230" i="18"/>
  <c r="F231" i="18"/>
  <c r="F232" i="18"/>
  <c r="F233" i="18"/>
  <c r="F234" i="18"/>
  <c r="F235" i="18"/>
  <c r="F236" i="18"/>
  <c r="F237" i="18"/>
  <c r="F238" i="18"/>
  <c r="F239" i="18"/>
  <c r="F240" i="18"/>
  <c r="F241" i="18"/>
  <c r="F242" i="18"/>
  <c r="F243" i="18"/>
  <c r="F244" i="18"/>
  <c r="F245" i="18"/>
  <c r="F246" i="18"/>
  <c r="F247" i="18"/>
  <c r="F248" i="18"/>
  <c r="F249" i="18"/>
  <c r="F250" i="18"/>
  <c r="F251" i="18"/>
  <c r="F252" i="18"/>
  <c r="F253" i="18"/>
  <c r="F254" i="18"/>
  <c r="F255" i="18"/>
  <c r="F256" i="18"/>
  <c r="F257" i="18"/>
  <c r="F258" i="18"/>
  <c r="F259" i="18"/>
  <c r="F260" i="18"/>
  <c r="F261" i="18"/>
  <c r="F262" i="18"/>
  <c r="F263" i="18"/>
  <c r="F264" i="18"/>
  <c r="F265" i="18"/>
  <c r="F266" i="18"/>
  <c r="F267" i="18"/>
  <c r="F268" i="18"/>
  <c r="F269" i="18"/>
  <c r="F270" i="18"/>
  <c r="F271" i="18"/>
  <c r="F272" i="18"/>
  <c r="F273" i="18"/>
  <c r="F274" i="18"/>
  <c r="F275" i="18"/>
  <c r="F276" i="18"/>
  <c r="F277" i="18"/>
  <c r="F278" i="18"/>
  <c r="F279" i="18"/>
  <c r="F280" i="18"/>
  <c r="F281" i="18"/>
  <c r="F282" i="18"/>
  <c r="F283" i="18"/>
  <c r="F284" i="18"/>
  <c r="F285" i="18"/>
  <c r="F286" i="18"/>
  <c r="F287" i="18"/>
  <c r="F288" i="18"/>
  <c r="F289" i="18"/>
  <c r="F290" i="18"/>
  <c r="F291" i="18"/>
  <c r="F292" i="18"/>
  <c r="F293" i="18"/>
  <c r="F294" i="18"/>
  <c r="F295" i="18"/>
  <c r="F296" i="18"/>
  <c r="F297" i="18"/>
  <c r="F298" i="18"/>
  <c r="F299" i="18"/>
  <c r="F300" i="18"/>
  <c r="F301" i="18"/>
  <c r="F302" i="18"/>
  <c r="F303" i="18"/>
  <c r="F304" i="18"/>
  <c r="F305" i="18"/>
  <c r="F306" i="18"/>
  <c r="F2" i="18"/>
  <c r="F2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293" i="20"/>
  <c r="F294" i="20"/>
  <c r="F295" i="20"/>
  <c r="F296" i="20"/>
  <c r="F297" i="20"/>
  <c r="F298" i="20"/>
  <c r="F299" i="20"/>
  <c r="F300" i="20"/>
  <c r="F301" i="20"/>
  <c r="F302" i="20"/>
  <c r="F303" i="20"/>
  <c r="F304" i="20"/>
  <c r="F305" i="20"/>
  <c r="F306" i="20"/>
  <c r="E2" i="20"/>
  <c r="E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8" i="20"/>
  <c r="E249" i="20"/>
  <c r="E250" i="20"/>
  <c r="E251" i="20"/>
  <c r="E252" i="20"/>
  <c r="E253" i="20"/>
  <c r="E254" i="20"/>
  <c r="E255" i="20"/>
  <c r="E256" i="20"/>
  <c r="E257" i="20"/>
  <c r="E258" i="20"/>
  <c r="E259" i="20"/>
  <c r="E260" i="20"/>
  <c r="E261" i="20"/>
  <c r="E262" i="20"/>
  <c r="E263" i="20"/>
  <c r="E264" i="20"/>
  <c r="E265" i="20"/>
  <c r="E266" i="20"/>
  <c r="E267" i="20"/>
  <c r="E268" i="20"/>
  <c r="E269" i="20"/>
  <c r="E270" i="20"/>
  <c r="E271" i="20"/>
  <c r="E272" i="20"/>
  <c r="E273" i="20"/>
  <c r="E274" i="20"/>
  <c r="E275" i="20"/>
  <c r="E276" i="20"/>
  <c r="E277" i="20"/>
  <c r="E278" i="20"/>
  <c r="E279" i="20"/>
  <c r="E280" i="20"/>
  <c r="E281" i="20"/>
  <c r="E282" i="20"/>
  <c r="E283" i="20"/>
  <c r="E284" i="20"/>
  <c r="E285" i="20"/>
  <c r="E286" i="20"/>
  <c r="E287" i="20"/>
  <c r="E288" i="20"/>
  <c r="E289" i="20"/>
  <c r="E290" i="20"/>
  <c r="E291" i="20"/>
  <c r="E292" i="20"/>
  <c r="E293" i="20"/>
  <c r="E294" i="20"/>
  <c r="E295" i="20"/>
  <c r="E296" i="20"/>
  <c r="E297" i="20"/>
  <c r="E298" i="20"/>
  <c r="E299" i="20"/>
  <c r="E300" i="20"/>
  <c r="E301" i="20"/>
  <c r="E302" i="20"/>
  <c r="E303" i="20"/>
  <c r="E304" i="20"/>
  <c r="E305" i="20"/>
  <c r="E306" i="20"/>
  <c r="D2" i="20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254" i="20"/>
  <c r="D255" i="20"/>
  <c r="D256" i="20"/>
  <c r="D257" i="20"/>
  <c r="D258" i="20"/>
  <c r="D259" i="20"/>
  <c r="D260" i="20"/>
  <c r="D261" i="20"/>
  <c r="D262" i="20"/>
  <c r="D263" i="20"/>
  <c r="D264" i="20"/>
  <c r="D265" i="20"/>
  <c r="D266" i="20"/>
  <c r="D267" i="20"/>
  <c r="D268" i="20"/>
  <c r="D269" i="20"/>
  <c r="D270" i="20"/>
  <c r="D271" i="20"/>
  <c r="D272" i="20"/>
  <c r="D273" i="20"/>
  <c r="D274" i="20"/>
  <c r="D275" i="20"/>
  <c r="D276" i="20"/>
  <c r="D277" i="20"/>
  <c r="D278" i="20"/>
  <c r="D279" i="20"/>
  <c r="D280" i="20"/>
  <c r="D281" i="20"/>
  <c r="D282" i="20"/>
  <c r="D283" i="20"/>
  <c r="D284" i="20"/>
  <c r="D285" i="20"/>
  <c r="D286" i="20"/>
  <c r="D287" i="20"/>
  <c r="D288" i="20"/>
  <c r="D289" i="20"/>
  <c r="D290" i="20"/>
  <c r="D291" i="20"/>
  <c r="D292" i="20"/>
  <c r="D293" i="20"/>
  <c r="D294" i="20"/>
  <c r="D295" i="20"/>
  <c r="D296" i="20"/>
  <c r="D297" i="20"/>
  <c r="D298" i="20"/>
  <c r="D299" i="20"/>
  <c r="D300" i="20"/>
  <c r="D301" i="20"/>
  <c r="D302" i="20"/>
  <c r="D303" i="20"/>
  <c r="D304" i="20"/>
  <c r="D305" i="20"/>
  <c r="D306" i="20"/>
  <c r="I2" i="20" l="1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136" i="20"/>
  <c r="I137" i="20"/>
  <c r="I138" i="20"/>
  <c r="I139" i="20"/>
  <c r="I140" i="20"/>
  <c r="I141" i="20"/>
  <c r="I142" i="20"/>
  <c r="I143" i="20"/>
  <c r="I144" i="20"/>
  <c r="I145" i="20"/>
  <c r="I146" i="20"/>
  <c r="I147" i="20"/>
  <c r="I148" i="20"/>
  <c r="I149" i="20"/>
  <c r="I150" i="20"/>
  <c r="I151" i="20"/>
  <c r="I152" i="20"/>
  <c r="I153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I176" i="20"/>
  <c r="I177" i="20"/>
  <c r="I178" i="20"/>
  <c r="I179" i="20"/>
  <c r="I180" i="20"/>
  <c r="I181" i="20"/>
  <c r="I182" i="20"/>
  <c r="I183" i="20"/>
  <c r="I184" i="20"/>
  <c r="I185" i="20"/>
  <c r="I186" i="20"/>
  <c r="I187" i="20"/>
  <c r="I188" i="20"/>
  <c r="I189" i="20"/>
  <c r="I190" i="20"/>
  <c r="I191" i="20"/>
  <c r="I192" i="20"/>
  <c r="I193" i="20"/>
  <c r="I194" i="20"/>
  <c r="I195" i="20"/>
  <c r="I196" i="20"/>
  <c r="I197" i="20"/>
  <c r="I198" i="20"/>
  <c r="I199" i="20"/>
  <c r="I200" i="20"/>
  <c r="I201" i="20"/>
  <c r="I202" i="20"/>
  <c r="I203" i="20"/>
  <c r="I204" i="20"/>
  <c r="I205" i="20"/>
  <c r="I206" i="20"/>
  <c r="I207" i="20"/>
  <c r="I208" i="20"/>
  <c r="I209" i="20"/>
  <c r="I210" i="20"/>
  <c r="I211" i="20"/>
  <c r="I212" i="20"/>
  <c r="I213" i="20"/>
  <c r="I214" i="20"/>
  <c r="I215" i="20"/>
  <c r="I216" i="20"/>
  <c r="I217" i="20"/>
  <c r="I218" i="20"/>
  <c r="I219" i="20"/>
  <c r="I220" i="20"/>
  <c r="I221" i="20"/>
  <c r="I222" i="20"/>
  <c r="I223" i="20"/>
  <c r="I224" i="20"/>
  <c r="I225" i="20"/>
  <c r="I226" i="20"/>
  <c r="I227" i="20"/>
  <c r="I228" i="20"/>
  <c r="I229" i="20"/>
  <c r="I230" i="20"/>
  <c r="I231" i="20"/>
  <c r="I232" i="20"/>
  <c r="I233" i="20"/>
  <c r="I234" i="20"/>
  <c r="I235" i="20"/>
  <c r="I236" i="20"/>
  <c r="I237" i="20"/>
  <c r="I238" i="20"/>
  <c r="I239" i="20"/>
  <c r="I240" i="20"/>
  <c r="I241" i="20"/>
  <c r="I242" i="20"/>
  <c r="I243" i="20"/>
  <c r="I244" i="20"/>
  <c r="I245" i="20"/>
  <c r="I246" i="20"/>
  <c r="I247" i="20"/>
  <c r="I248" i="20"/>
  <c r="I249" i="20"/>
  <c r="I250" i="20"/>
  <c r="I251" i="20"/>
  <c r="I252" i="20"/>
  <c r="I253" i="20"/>
  <c r="I254" i="20"/>
  <c r="I255" i="20"/>
  <c r="I256" i="20"/>
  <c r="I257" i="20"/>
  <c r="I258" i="20"/>
  <c r="I259" i="20"/>
  <c r="I260" i="20"/>
  <c r="I261" i="20"/>
  <c r="I262" i="20"/>
  <c r="I263" i="20"/>
  <c r="I264" i="20"/>
  <c r="I265" i="20"/>
  <c r="I266" i="20"/>
  <c r="I267" i="20"/>
  <c r="I268" i="20"/>
  <c r="I269" i="20"/>
  <c r="I270" i="20"/>
  <c r="I271" i="20"/>
  <c r="I272" i="20"/>
  <c r="I273" i="20"/>
  <c r="I274" i="20"/>
  <c r="I275" i="20"/>
  <c r="I276" i="20"/>
  <c r="I277" i="20"/>
  <c r="I278" i="20"/>
  <c r="I279" i="20"/>
  <c r="I280" i="20"/>
  <c r="I281" i="20"/>
  <c r="I282" i="20"/>
  <c r="I283" i="20"/>
  <c r="I284" i="20"/>
  <c r="I285" i="20"/>
  <c r="I286" i="20"/>
  <c r="I287" i="20"/>
  <c r="I288" i="20"/>
  <c r="I289" i="20"/>
  <c r="I290" i="20"/>
  <c r="I291" i="20"/>
  <c r="I292" i="20"/>
  <c r="I293" i="20"/>
  <c r="I294" i="20"/>
  <c r="I295" i="20"/>
  <c r="I296" i="20"/>
  <c r="I297" i="20"/>
  <c r="I298" i="20"/>
  <c r="I299" i="20"/>
  <c r="I300" i="20"/>
  <c r="I301" i="20"/>
  <c r="I302" i="20"/>
  <c r="I303" i="20"/>
  <c r="I304" i="20"/>
  <c r="I305" i="20"/>
  <c r="I306" i="20"/>
  <c r="H2" i="20"/>
  <c r="H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54" i="20"/>
  <c r="H155" i="20"/>
  <c r="H156" i="20"/>
  <c r="H157" i="20"/>
  <c r="H158" i="20"/>
  <c r="H159" i="20"/>
  <c r="H160" i="20"/>
  <c r="H161" i="20"/>
  <c r="H162" i="20"/>
  <c r="H163" i="20"/>
  <c r="H164" i="20"/>
  <c r="H165" i="20"/>
  <c r="H166" i="20"/>
  <c r="H167" i="20"/>
  <c r="H168" i="20"/>
  <c r="H169" i="20"/>
  <c r="H170" i="20"/>
  <c r="H171" i="20"/>
  <c r="H172" i="20"/>
  <c r="H173" i="20"/>
  <c r="H174" i="20"/>
  <c r="H175" i="20"/>
  <c r="H176" i="20"/>
  <c r="H177" i="20"/>
  <c r="H178" i="20"/>
  <c r="H179" i="20"/>
  <c r="H180" i="20"/>
  <c r="H181" i="20"/>
  <c r="H182" i="20"/>
  <c r="H183" i="20"/>
  <c r="H184" i="20"/>
  <c r="H185" i="20"/>
  <c r="H186" i="20"/>
  <c r="H187" i="20"/>
  <c r="H188" i="20"/>
  <c r="H189" i="20"/>
  <c r="H190" i="20"/>
  <c r="H191" i="20"/>
  <c r="H192" i="20"/>
  <c r="H193" i="20"/>
  <c r="H194" i="20"/>
  <c r="H195" i="20"/>
  <c r="H196" i="20"/>
  <c r="H197" i="20"/>
  <c r="H198" i="20"/>
  <c r="H199" i="20"/>
  <c r="H200" i="20"/>
  <c r="H201" i="20"/>
  <c r="H202" i="20"/>
  <c r="H203" i="20"/>
  <c r="H204" i="20"/>
  <c r="H205" i="20"/>
  <c r="H206" i="20"/>
  <c r="H207" i="20"/>
  <c r="H208" i="20"/>
  <c r="H209" i="20"/>
  <c r="H210" i="20"/>
  <c r="H211" i="20"/>
  <c r="H212" i="20"/>
  <c r="H213" i="20"/>
  <c r="H214" i="20"/>
  <c r="H215" i="20"/>
  <c r="H216" i="20"/>
  <c r="H217" i="20"/>
  <c r="H218" i="20"/>
  <c r="H219" i="20"/>
  <c r="H220" i="20"/>
  <c r="H221" i="20"/>
  <c r="H222" i="20"/>
  <c r="H223" i="20"/>
  <c r="H224" i="20"/>
  <c r="H225" i="20"/>
  <c r="H226" i="20"/>
  <c r="H227" i="20"/>
  <c r="H228" i="20"/>
  <c r="H229" i="20"/>
  <c r="H230" i="20"/>
  <c r="H231" i="20"/>
  <c r="H232" i="20"/>
  <c r="H233" i="20"/>
  <c r="H234" i="20"/>
  <c r="H235" i="20"/>
  <c r="H236" i="20"/>
  <c r="H237" i="20"/>
  <c r="H238" i="20"/>
  <c r="H239" i="20"/>
  <c r="H240" i="20"/>
  <c r="H241" i="20"/>
  <c r="H242" i="20"/>
  <c r="H243" i="20"/>
  <c r="H244" i="20"/>
  <c r="H245" i="20"/>
  <c r="H246" i="20"/>
  <c r="H247" i="20"/>
  <c r="H248" i="20"/>
  <c r="H249" i="20"/>
  <c r="H250" i="20"/>
  <c r="H251" i="20"/>
  <c r="H252" i="20"/>
  <c r="H253" i="20"/>
  <c r="H254" i="20"/>
  <c r="H255" i="20"/>
  <c r="H256" i="20"/>
  <c r="H257" i="20"/>
  <c r="H258" i="20"/>
  <c r="H259" i="20"/>
  <c r="H260" i="20"/>
  <c r="H261" i="20"/>
  <c r="H262" i="20"/>
  <c r="H263" i="20"/>
  <c r="H264" i="20"/>
  <c r="H265" i="20"/>
  <c r="H266" i="20"/>
  <c r="H267" i="20"/>
  <c r="H268" i="20"/>
  <c r="H269" i="20"/>
  <c r="H270" i="20"/>
  <c r="H271" i="20"/>
  <c r="H272" i="20"/>
  <c r="H273" i="20"/>
  <c r="H274" i="20"/>
  <c r="H275" i="20"/>
  <c r="H276" i="20"/>
  <c r="H277" i="20"/>
  <c r="H278" i="20"/>
  <c r="H279" i="20"/>
  <c r="H280" i="20"/>
  <c r="H281" i="20"/>
  <c r="H282" i="20"/>
  <c r="H283" i="20"/>
  <c r="H284" i="20"/>
  <c r="H285" i="20"/>
  <c r="H286" i="20"/>
  <c r="H287" i="20"/>
  <c r="H288" i="20"/>
  <c r="H289" i="20"/>
  <c r="H290" i="20"/>
  <c r="H291" i="20"/>
  <c r="H292" i="20"/>
  <c r="H293" i="20"/>
  <c r="H294" i="20"/>
  <c r="H295" i="20"/>
  <c r="H296" i="20"/>
  <c r="H297" i="20"/>
  <c r="H298" i="20"/>
  <c r="H299" i="20"/>
  <c r="H300" i="20"/>
  <c r="H301" i="20"/>
  <c r="H302" i="20"/>
  <c r="H303" i="20"/>
  <c r="H304" i="20"/>
  <c r="H305" i="20"/>
  <c r="H306" i="20"/>
  <c r="G2" i="20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24" i="20"/>
  <c r="G225" i="20"/>
  <c r="G226" i="20"/>
  <c r="G227" i="20"/>
  <c r="G228" i="20"/>
  <c r="G229" i="20"/>
  <c r="G230" i="20"/>
  <c r="G231" i="20"/>
  <c r="G232" i="20"/>
  <c r="G233" i="20"/>
  <c r="G234" i="20"/>
  <c r="G235" i="20"/>
  <c r="G236" i="20"/>
  <c r="G237" i="20"/>
  <c r="G238" i="20"/>
  <c r="G239" i="20"/>
  <c r="G240" i="20"/>
  <c r="G241" i="20"/>
  <c r="G242" i="20"/>
  <c r="G243" i="20"/>
  <c r="G244" i="20"/>
  <c r="G245" i="20"/>
  <c r="G246" i="20"/>
  <c r="G247" i="20"/>
  <c r="G248" i="20"/>
  <c r="G249" i="20"/>
  <c r="G250" i="20"/>
  <c r="G251" i="20"/>
  <c r="G252" i="20"/>
  <c r="G253" i="20"/>
  <c r="G254" i="20"/>
  <c r="G255" i="20"/>
  <c r="G256" i="20"/>
  <c r="G257" i="20"/>
  <c r="G258" i="20"/>
  <c r="G259" i="20"/>
  <c r="G260" i="20"/>
  <c r="G261" i="20"/>
  <c r="G262" i="20"/>
  <c r="G263" i="20"/>
  <c r="G264" i="20"/>
  <c r="G265" i="20"/>
  <c r="G266" i="20"/>
  <c r="G267" i="20"/>
  <c r="G268" i="20"/>
  <c r="G269" i="20"/>
  <c r="G270" i="20"/>
  <c r="G271" i="20"/>
  <c r="G272" i="20"/>
  <c r="G273" i="20"/>
  <c r="G274" i="20"/>
  <c r="G275" i="20"/>
  <c r="G276" i="20"/>
  <c r="G277" i="20"/>
  <c r="G278" i="20"/>
  <c r="G279" i="20"/>
  <c r="G280" i="20"/>
  <c r="G281" i="20"/>
  <c r="G282" i="20"/>
  <c r="G283" i="20"/>
  <c r="G284" i="20"/>
  <c r="G285" i="20"/>
  <c r="G286" i="20"/>
  <c r="G287" i="20"/>
  <c r="G288" i="20"/>
  <c r="G289" i="20"/>
  <c r="G290" i="20"/>
  <c r="G291" i="20"/>
  <c r="G292" i="20"/>
  <c r="G293" i="20"/>
  <c r="G294" i="20"/>
  <c r="G295" i="20"/>
  <c r="G296" i="20"/>
  <c r="G297" i="20"/>
  <c r="G298" i="20"/>
  <c r="G299" i="20"/>
  <c r="G300" i="20"/>
  <c r="G301" i="20"/>
  <c r="G302" i="20"/>
  <c r="G303" i="20"/>
  <c r="G304" i="20"/>
  <c r="G305" i="20"/>
  <c r="G306" i="20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<sst xmlns="http://schemas.openxmlformats.org/spreadsheetml/2006/main" count="2152" uniqueCount="1016">
  <si>
    <t>NOMBRE COMPLETO</t>
  </si>
  <si>
    <t>JUAN VERA VERA</t>
  </si>
  <si>
    <t>CARINA CALDERON CRUZ</t>
  </si>
  <si>
    <t>JOSE SILVA ARAYA</t>
  </si>
  <si>
    <t>PEDRO ARANEDA REALES</t>
  </si>
  <si>
    <t>SEBASTIAN SOZA PINTO</t>
  </si>
  <si>
    <t>ARIEL RIVERA VALDIVIA</t>
  </si>
  <si>
    <t>BIELKA SUSANA CHICAGO ALBORNOZ</t>
  </si>
  <si>
    <t>CLAUDIO CASTILLO BELTRAN</t>
  </si>
  <si>
    <t>DANIEL PEÑA MORALES</t>
  </si>
  <si>
    <t>DIEGO GARAY ABARCA</t>
  </si>
  <si>
    <t>FABIOLA SOTO CARRASCO</t>
  </si>
  <si>
    <t>GABRIEL GARCIA HONORATO</t>
  </si>
  <si>
    <t>GERALD PEREZ GIRALDO</t>
  </si>
  <si>
    <t>GUILLERMO ECHEVERRIA VILLALOBOS</t>
  </si>
  <si>
    <t>JAIME ALCAYAGA ARAYA</t>
  </si>
  <si>
    <t>MIGUEL ESTAY STAY</t>
  </si>
  <si>
    <t>MILTON ROJAS ROJAS</t>
  </si>
  <si>
    <t>RAUL ALQUINTA GALARDE</t>
  </si>
  <si>
    <t>RELLCO AYCA GARAY</t>
  </si>
  <si>
    <t>RODRIGO LINARES VERDEJO</t>
  </si>
  <si>
    <t>VLADIMIR TAPIA ESPINOZA</t>
  </si>
  <si>
    <t>YORDAN SAIRES YUFLA</t>
  </si>
  <si>
    <t>NATALIA ANTEQUERA ARTEAGA</t>
  </si>
  <si>
    <t>DAYLIN CHAVEZ CARVAJAL</t>
  </si>
  <si>
    <t>PATRICIO AROS LAGOS</t>
  </si>
  <si>
    <t>VICTOR CASTILLO VILLAGRAN</t>
  </si>
  <si>
    <t>MATIAS GONZALEZ VALDIVIA</t>
  </si>
  <si>
    <t>SEBASTIAN SALINAS ARANCIBIA</t>
  </si>
  <si>
    <t>MAURICIO AGUILERA TORRICO</t>
  </si>
  <si>
    <t>ALEJANDRO TORRES SAAVEDRA</t>
  </si>
  <si>
    <t>CAMILA IRIARTE HERRERA</t>
  </si>
  <si>
    <t>CARLOS INZUNZA ALVARADO</t>
  </si>
  <si>
    <t>CHRISTINA PLAZA VALENZUELA</t>
  </si>
  <si>
    <t>CLAUDIO ROBLES CASTILLO</t>
  </si>
  <si>
    <t>CRISTIAN AZOCAR CORDERO</t>
  </si>
  <si>
    <t>DAMIAN ORDENES CASTILLO</t>
  </si>
  <si>
    <t>ELIAS CONTRERAS MOYANO</t>
  </si>
  <si>
    <t>ELVER AGUILAR MIRANDA</t>
  </si>
  <si>
    <t>FELIPE CUEVAS AGUILERA</t>
  </si>
  <si>
    <t>FERNANDO ROJAS GRAY</t>
  </si>
  <si>
    <t>FRANCISCO VARAS CAMPILLAY</t>
  </si>
  <si>
    <t>GLIDDE CORTES PASTEN</t>
  </si>
  <si>
    <t>GUILLERMO GUERRERO CASTILLO</t>
  </si>
  <si>
    <t>HUGO ESPINOSA CARDOZO</t>
  </si>
  <si>
    <t>IGNACIO LLANOS GALLEGUILLOS</t>
  </si>
  <si>
    <t>IVO EDUARDO PATTY CHOQUE</t>
  </si>
  <si>
    <t>JAIME BASILIO REYES</t>
  </si>
  <si>
    <t>JAIME CARRIZO TIRADO</t>
  </si>
  <si>
    <t>JERSON ROBLEDO VILLEGAS</t>
  </si>
  <si>
    <t>JHAN SILVA TIMBLE</t>
  </si>
  <si>
    <t>JONATHAN TRULLEN CAMPILLAY</t>
  </si>
  <si>
    <t>JONNATTAN TORRES ARANDA</t>
  </si>
  <si>
    <t>JOSE OSORIO GUAJARDO</t>
  </si>
  <si>
    <t>JOSE PANIRE BAUTISTA</t>
  </si>
  <si>
    <t>JUAN CAQUISANE</t>
  </si>
  <si>
    <t>LUCY CORTES CORTES</t>
  </si>
  <si>
    <t>LUIS CASTILLO SEPULVEDA</t>
  </si>
  <si>
    <t>MARCELO OSSES LLUZCO</t>
  </si>
  <si>
    <t>MARCO PINTO CORDOVA</t>
  </si>
  <si>
    <t>MARIO VEGA MEDINA</t>
  </si>
  <si>
    <t>NELSON TAPIA CASTILLO</t>
  </si>
  <si>
    <t>NICOLAS MIRANDA CHURA</t>
  </si>
  <si>
    <t>OMAR ORTEGA SANTANDER</t>
  </si>
  <si>
    <t>PABLO ARAYA RAMOS</t>
  </si>
  <si>
    <t>PABLO MICHEA MICHEA</t>
  </si>
  <si>
    <t>PEDRO ESCOBAR LOPEZ</t>
  </si>
  <si>
    <t>PEDRO MIRANDA VERGARA</t>
  </si>
  <si>
    <t>RAMON ROJAS VARAS</t>
  </si>
  <si>
    <t>RENZO MALAGARRIGA MONTT</t>
  </si>
  <si>
    <t>ROBERTO PASTEN MICHEA</t>
  </si>
  <si>
    <t>RODRIGO CUISA ARAYA</t>
  </si>
  <si>
    <t>SAMUEL JOFRE GONZALEZ</t>
  </si>
  <si>
    <t xml:space="preserve">SHERMAN MILLA ALVAREZ </t>
  </si>
  <si>
    <t>VICTOR SALAS CERDA</t>
  </si>
  <si>
    <t>YERKO ARIAS RIVERA</t>
  </si>
  <si>
    <t>SEBASTIAN VALENZUELA CASTILLO</t>
  </si>
  <si>
    <t>FELIPE DIAS SANDOVAL</t>
  </si>
  <si>
    <t>CINTHIA CAMPOS PERLA</t>
  </si>
  <si>
    <t>NATALIA URRELO COLQUE</t>
  </si>
  <si>
    <t>ALVARO CARVAJAL ARAYA</t>
  </si>
  <si>
    <t>ANDRES AGUILERA CARVAJAL</t>
  </si>
  <si>
    <t>BENJAMIN PEREDO PANCHILLO</t>
  </si>
  <si>
    <t>BRAULIO SASMAYA DIAZ</t>
  </si>
  <si>
    <t>CARLOS CARRIZO TIRADO</t>
  </si>
  <si>
    <t>CARLOS ESPINOZA ARIAS</t>
  </si>
  <si>
    <t>CARLOS HURTADO ESPINOZA</t>
  </si>
  <si>
    <t>CHRISTIAN SILVA PINO</t>
  </si>
  <si>
    <t>CRISTIAN NORAMBUENA BIGUERA</t>
  </si>
  <si>
    <t>CRISTOPHER BRAVO BRUNA</t>
  </si>
  <si>
    <t>DAVID MARCHANT MUÑOZ</t>
  </si>
  <si>
    <t>DEIVYD HIDALGO DIAZ</t>
  </si>
  <si>
    <t>EMILIANO BUSTOS VEGA</t>
  </si>
  <si>
    <t>EMILIO ARANEDA REALES</t>
  </si>
  <si>
    <t>ESTEBAN COLQUE CRUZ</t>
  </si>
  <si>
    <t>ESTEBAN MUÑOZ CANIVILO</t>
  </si>
  <si>
    <t>FABIAN CONTRERAS OSSANDON</t>
  </si>
  <si>
    <t>FABIAN ROJAS OVALLE</t>
  </si>
  <si>
    <t>FELIX PAOLINI REYES</t>
  </si>
  <si>
    <t>FRANCO HERNANDEZ CASTILLO</t>
  </si>
  <si>
    <t>GUILLERMO HENRIQUEZ FABRES</t>
  </si>
  <si>
    <t>HERIBERTO ROJAS FLORES</t>
  </si>
  <si>
    <t>ISAIAS CONTRERAS SEPULVEDA</t>
  </si>
  <si>
    <t>IVAN URRELO ALFARO</t>
  </si>
  <si>
    <t>JORGE OLIVARES VIDELA</t>
  </si>
  <si>
    <t>JOSE HIDALGO DIAZ</t>
  </si>
  <si>
    <t>JUAN ARAYA ARAYA</t>
  </si>
  <si>
    <t>JUAN PLAZA ALVAREZ</t>
  </si>
  <si>
    <t>JUAN VALENZUELA SEPULVEDA</t>
  </si>
  <si>
    <t>KAREN OLGUIN ORDENES</t>
  </si>
  <si>
    <t>LENIN ADONES VARAS</t>
  </si>
  <si>
    <t>LUIS GALLEGUILLOS MONTENEGRO</t>
  </si>
  <si>
    <t>LUIS PLACENCIA PAEZ</t>
  </si>
  <si>
    <t>LUIS REYES QUISPE</t>
  </si>
  <si>
    <t>MARCELO OGALDE MENDOZA</t>
  </si>
  <si>
    <t>MARCO ALVAREZ MUÑOZ</t>
  </si>
  <si>
    <t>MARCOS MOYA TRIGO</t>
  </si>
  <si>
    <t>MARIO MORALES CORVALAN</t>
  </si>
  <si>
    <t>MILTON LOBERA TRONCI</t>
  </si>
  <si>
    <t>NICOLAS MALDONADO PAEZ</t>
  </si>
  <si>
    <t>NILSSON BECERRA TAMBLAY</t>
  </si>
  <si>
    <t>PABLO ARAVENA MARIN</t>
  </si>
  <si>
    <t>RAMON CANALES OJEDA</t>
  </si>
  <si>
    <t>RICARDO CAMPILLAY ROJAS</t>
  </si>
  <si>
    <t>SERGIO ROJAS OSORIO</t>
  </si>
  <si>
    <t>TEODORO LOBERA CRUZ</t>
  </si>
  <si>
    <t>VICTOR ORDENES GONZALEZ</t>
  </si>
  <si>
    <t>VICTOR OROZCO PONCE</t>
  </si>
  <si>
    <t>CAROLINA CACERES AROCA</t>
  </si>
  <si>
    <t>LUIS ALVAREZ POBLETE</t>
  </si>
  <si>
    <t>LUIS PEREIRA BARLARO</t>
  </si>
  <si>
    <t>ABRAHAM HUAGAMA CHOCOBAR</t>
  </si>
  <si>
    <t>ALEJANDRO VARGAS CORTES</t>
  </si>
  <si>
    <t>CAMILO JARA ZAPATA</t>
  </si>
  <si>
    <t>CARLOS ARAMAYO JIMENEZ</t>
  </si>
  <si>
    <t>CARLOS SOSA CATUR</t>
  </si>
  <si>
    <t>CRISTIAN CARDENAS SANTOS</t>
  </si>
  <si>
    <t>FELIPE GONZALEZ FUENTES</t>
  </si>
  <si>
    <t>MAITE HIDALGO LIZAMA</t>
  </si>
  <si>
    <t>NICOLAS CIFUENTES GUITIERREZ</t>
  </si>
  <si>
    <t>NICOLAS QUEZADA ORTEGA</t>
  </si>
  <si>
    <t>YERKO CARDENAS HERRERA</t>
  </si>
  <si>
    <t>MATIAS FLORES BASUALTO</t>
  </si>
  <si>
    <t>ARTURO TAPIA AVALOS</t>
  </si>
  <si>
    <t>VALESKA MARTINEZ CHOQUE</t>
  </si>
  <si>
    <t>CRISTIAN GUERRERO CONDEMARIN</t>
  </si>
  <si>
    <t>GIANCARLO HUERTA LLANOS</t>
  </si>
  <si>
    <t>ALEX MUÑOZ ORTEGA</t>
  </si>
  <si>
    <t>ALEXANDER ROJAS ROJAS</t>
  </si>
  <si>
    <t>ANDRES GUTIERREZ VASQUEZ</t>
  </si>
  <si>
    <t>ANGELO GAJARDO GAJARDO</t>
  </si>
  <si>
    <t>ANGELO SEGOVIA ROJAS</t>
  </si>
  <si>
    <t>ARIEL MALUENDA ROJAS</t>
  </si>
  <si>
    <t>BAYRON VERGARA LUCIANO</t>
  </si>
  <si>
    <t>BRIAN REYGADA FERNADEZ</t>
  </si>
  <si>
    <t>BRYAN BASCUR ROJO</t>
  </si>
  <si>
    <t>CLAUDIA GAHONA ROJAS</t>
  </si>
  <si>
    <t>CLAUDIO DIAZ ALUCEMA</t>
  </si>
  <si>
    <t>CRISTIAN ARAYA ARAYA</t>
  </si>
  <si>
    <t>CRISTIAN ARDILES AGUILAR</t>
  </si>
  <si>
    <t>CRISTIAN CHOQUE RAMIREZ</t>
  </si>
  <si>
    <t>DANIEL BARRIENTOS ROMERO</t>
  </si>
  <si>
    <t>DAVID SALGADO MUÑOZ</t>
  </si>
  <si>
    <t>DIEGO MAMANI MOLLO</t>
  </si>
  <si>
    <t>EDUARDO GOMEZ TRUJILLO</t>
  </si>
  <si>
    <t>FABIAN BARRERA VARAS</t>
  </si>
  <si>
    <t>FABIAN ORTIZ  SEPULVEDA</t>
  </si>
  <si>
    <t>FERNANDO ROMERO TOLEDO</t>
  </si>
  <si>
    <t>FRANCISCO ALVAREZ ZAMORA</t>
  </si>
  <si>
    <t>FRANCISCO RAMIREZ CAMPILLAY</t>
  </si>
  <si>
    <t>GUSTAVO ACEVEDO BERNA</t>
  </si>
  <si>
    <t>IVAN VILLEGAS ARANCIBIA</t>
  </si>
  <si>
    <t>JIMMY VASQUEZ SALINAS</t>
  </si>
  <si>
    <t>JONATHAN LOPEZ RIVEROS</t>
  </si>
  <si>
    <t>JOSE OSINAGA ANDRADE</t>
  </si>
  <si>
    <t>JOSE QUIROZ CONTRERAS</t>
  </si>
  <si>
    <t>JOSE VEGA MAMANI</t>
  </si>
  <si>
    <t>JUAN PALAVICINO RIVERA</t>
  </si>
  <si>
    <t>JUAN VILCA JARA</t>
  </si>
  <si>
    <t>JUVENAL CRUZ VILCA</t>
  </si>
  <si>
    <t>LUIS CONTRERAS ASTUDILLO</t>
  </si>
  <si>
    <t>LUIS DURAN MATURANA</t>
  </si>
  <si>
    <t>LUISMER MARIN MUÑOZ</t>
  </si>
  <si>
    <t>MACARIO MAMANI GUARACHI</t>
  </si>
  <si>
    <t>MANUEL QUIROZ ROMERO</t>
  </si>
  <si>
    <t>MARCELO REINOSO RAMIREZ</t>
  </si>
  <si>
    <t>MARCELO ROJAS CARVAJAL</t>
  </si>
  <si>
    <t>MARJORIE MUÑOZ VARAS</t>
  </si>
  <si>
    <t>NIBALDO ROJAS SALAS</t>
  </si>
  <si>
    <t>NIKOLAS MONJE MENDOZA</t>
  </si>
  <si>
    <t>PEDRO ARANEDA NUÑEZ</t>
  </si>
  <si>
    <t>RAMIRO MAMANI MAMANI</t>
  </si>
  <si>
    <t>RODRIGO ARANDA RIVERA</t>
  </si>
  <si>
    <t>SEBASTIAN MONTALBAN MUNDACA</t>
  </si>
  <si>
    <t>YULIAN FLORES FLORES</t>
  </si>
  <si>
    <t>ZAKK ELIZALDE DIAZ</t>
  </si>
  <si>
    <t>LUIS LY BARRAZA</t>
  </si>
  <si>
    <t>PEDRO RAMIREZ</t>
  </si>
  <si>
    <t>ALLAN ROJAS ARAYA</t>
  </si>
  <si>
    <t>ALVARO COLINA FLORES</t>
  </si>
  <si>
    <t>ANDREA MOYA ORMEÑO</t>
  </si>
  <si>
    <t>ANDRES OCAYO OCAYO</t>
  </si>
  <si>
    <t>CHRISTIAN CACERES DOUGLAS</t>
  </si>
  <si>
    <t>CLAUDIO MIRANDA GALAZ</t>
  </si>
  <si>
    <t>DAMIAN MENDIZABAL CASTILLO</t>
  </si>
  <si>
    <t>DANIEL OÑA MAMANI</t>
  </si>
  <si>
    <t>DAVID MOLINA MORENO</t>
  </si>
  <si>
    <t>DYLAN CASTILLO CARVAJAL</t>
  </si>
  <si>
    <t>EZEQUIEL GONZALEZ GALLARDO</t>
  </si>
  <si>
    <t>FERNANDO BARRERA ARAYA</t>
  </si>
  <si>
    <t>FLAVIO SAAVEDRA MARIN</t>
  </si>
  <si>
    <t>FRANCISCO TORRES ARANDA</t>
  </si>
  <si>
    <t>FRANCO ANJEL AVALOS</t>
  </si>
  <si>
    <t>HECTOR ORELLANA BERON</t>
  </si>
  <si>
    <t>JAVIER NUÑEZ GUERRERO</t>
  </si>
  <si>
    <t>JEISON BRUCE VALDERRAMA</t>
  </si>
  <si>
    <t>JOBANY VALENZUELA ROJAS</t>
  </si>
  <si>
    <t>JORGE LARRONDO DURAN</t>
  </si>
  <si>
    <t>JOSUE GONZALEZ GALLARDO</t>
  </si>
  <si>
    <t>JUAN MARTINEZ CASTILLO</t>
  </si>
  <si>
    <t>JUAN MEJIA ROSALES</t>
  </si>
  <si>
    <t>JUAN VALLEJOS CORNEJO</t>
  </si>
  <si>
    <t>MANUEL RAMIREZ ORELLANA</t>
  </si>
  <si>
    <t>MARIO BECERRA CATARRI</t>
  </si>
  <si>
    <t>MATIAS AGUILERA VERGARA</t>
  </si>
  <si>
    <t>MAURICIO GUERRA ZUÑIGA</t>
  </si>
  <si>
    <t>MILAN GODOY GODOY</t>
  </si>
  <si>
    <t>NESTOR CRUZ GONZALEZ</t>
  </si>
  <si>
    <t>PATRICIO ROJAS ARAYA</t>
  </si>
  <si>
    <t>PATRICIO ZEGARRA SOLARES</t>
  </si>
  <si>
    <t>PEDRO ARAYA SAAVEDRA</t>
  </si>
  <si>
    <t>PEDRO JIMENEZ CARRETERO</t>
  </si>
  <si>
    <t>RAUL LAZCANO CABRERA</t>
  </si>
  <si>
    <t>SAMUEL RIVERA ARAYA</t>
  </si>
  <si>
    <t>SCOTT LLEWELLYN RIVERA</t>
  </si>
  <si>
    <t>SEBASTIAN DIAZ MALUENDA</t>
  </si>
  <si>
    <t>SEBASTIAN TARQUE MUÑOZ</t>
  </si>
  <si>
    <t>WALDO RIVERA PEREZ</t>
  </si>
  <si>
    <t>YANELA SOTO BELTRAN</t>
  </si>
  <si>
    <t>BENJAMIN FUENTES ROBLES</t>
  </si>
  <si>
    <t>HECTOR ESPINOZA MARIN</t>
  </si>
  <si>
    <t>YESENIA EDITH MONTOYA LAGOS</t>
  </si>
  <si>
    <t>13.172.480-2</t>
  </si>
  <si>
    <t>18.125.400-9</t>
  </si>
  <si>
    <t>14.104.128-2</t>
  </si>
  <si>
    <t>12.947.052-6</t>
  </si>
  <si>
    <t>16.493.030-0</t>
  </si>
  <si>
    <t>15.769.371-9</t>
  </si>
  <si>
    <t>16.566.699-2</t>
  </si>
  <si>
    <t>9.133.711-8</t>
  </si>
  <si>
    <t>EDGARD LORCA EWETT</t>
  </si>
  <si>
    <t>15.812.632-k</t>
  </si>
  <si>
    <t>18.539.817-K</t>
  </si>
  <si>
    <t>JUAN FUENZALIDA ESPINOZA</t>
  </si>
  <si>
    <t>20.526.016-1</t>
  </si>
  <si>
    <t>17.744.634-3</t>
  </si>
  <si>
    <t>MARIO TORRES VIDAL</t>
  </si>
  <si>
    <t>14.560.342-0</t>
  </si>
  <si>
    <t>17.245.903-K</t>
  </si>
  <si>
    <t>RODRIGO ACUÑA LOPEZ</t>
  </si>
  <si>
    <t>13.632.774-7</t>
  </si>
  <si>
    <t>RODRIGO ROJAS ROJAS</t>
  </si>
  <si>
    <t>20.274.345-5</t>
  </si>
  <si>
    <t>19.463.519-2</t>
  </si>
  <si>
    <t>17.172.507-0</t>
  </si>
  <si>
    <t>16.868.973-K</t>
  </si>
  <si>
    <t>17.246.344-4</t>
  </si>
  <si>
    <t>19.871.539-5</t>
  </si>
  <si>
    <t>19.694.614-4</t>
  </si>
  <si>
    <t>16.602.123-5</t>
  </si>
  <si>
    <t>17.655.738-9</t>
  </si>
  <si>
    <t>14.109.358-4</t>
  </si>
  <si>
    <t>16.565.997-K</t>
  </si>
  <si>
    <t>19.955.138-8</t>
  </si>
  <si>
    <t>17.277.568-3</t>
  </si>
  <si>
    <t>14.393.784-4</t>
  </si>
  <si>
    <t>15.947.993-5</t>
  </si>
  <si>
    <t>16.927.573-4</t>
  </si>
  <si>
    <t>13.745.129-8</t>
  </si>
  <si>
    <t>12.530.524-5</t>
  </si>
  <si>
    <t>16.274.559-K</t>
  </si>
  <si>
    <t>14.412.026-4</t>
  </si>
  <si>
    <t>17.452.286-3</t>
  </si>
  <si>
    <t>JOSE DIAZ ALVARADO</t>
  </si>
  <si>
    <t>23.692.021-6</t>
  </si>
  <si>
    <t>17.528.299-8</t>
  </si>
  <si>
    <t>19.147.854-1</t>
  </si>
  <si>
    <t>17.093.275-7</t>
  </si>
  <si>
    <t>18.125.329-0</t>
  </si>
  <si>
    <t>18.826.074-8</t>
  </si>
  <si>
    <t>18.483.911-3</t>
  </si>
  <si>
    <t>19.968.816-2</t>
  </si>
  <si>
    <t>17.246.055-0</t>
  </si>
  <si>
    <t>18.482.647-K</t>
  </si>
  <si>
    <t>17.846.810-3</t>
  </si>
  <si>
    <t>20.911.553-0</t>
  </si>
  <si>
    <t>20.133.232-K</t>
  </si>
  <si>
    <t>18.972.102-1</t>
  </si>
  <si>
    <t>18.884.949-0</t>
  </si>
  <si>
    <t>17.725.257-3</t>
  </si>
  <si>
    <t>19.867.631-4</t>
  </si>
  <si>
    <t>CESAR ARAYA  FERNANDEZ</t>
  </si>
  <si>
    <t>16.466.823-1</t>
  </si>
  <si>
    <t>18.125.375-4</t>
  </si>
  <si>
    <t>20.381.171-3</t>
  </si>
  <si>
    <t>21.467.074-7</t>
  </si>
  <si>
    <t>18.739.471-6</t>
  </si>
  <si>
    <t>16.824.319-7</t>
  </si>
  <si>
    <t>15.000.986-3</t>
  </si>
  <si>
    <t>19.538.264-6</t>
  </si>
  <si>
    <t>16.059.866-2</t>
  </si>
  <si>
    <t>19.898.803-0</t>
  </si>
  <si>
    <t>16.785.107-K</t>
  </si>
  <si>
    <t>18.100.391-K</t>
  </si>
  <si>
    <t>15.015.302-6</t>
  </si>
  <si>
    <t>18.703.725-5</t>
  </si>
  <si>
    <t>10.978.655-1</t>
  </si>
  <si>
    <t>20.399.173-8</t>
  </si>
  <si>
    <t>19.825.050-3</t>
  </si>
  <si>
    <t>20.348.189-6</t>
  </si>
  <si>
    <t>CRISTIAN VERA INOSTROZA</t>
  </si>
  <si>
    <t>18.503.272-8</t>
  </si>
  <si>
    <t>15.705.129-6</t>
  </si>
  <si>
    <t>21.025.276-2</t>
  </si>
  <si>
    <t>20.274.647-0</t>
  </si>
  <si>
    <t>18.943.848-6</t>
  </si>
  <si>
    <t>19.206.141-5</t>
  </si>
  <si>
    <t>12.427.793-0</t>
  </si>
  <si>
    <t>20.352.297-5</t>
  </si>
  <si>
    <t>14.308.582-1</t>
  </si>
  <si>
    <t>13.633.602-9</t>
  </si>
  <si>
    <t>20.348.504-2</t>
  </si>
  <si>
    <t>17.829.620-5</t>
  </si>
  <si>
    <t>17.536.144-8</t>
  </si>
  <si>
    <t>12.442.918-8</t>
  </si>
  <si>
    <t>17.715.371-0</t>
  </si>
  <si>
    <t>16.565.053-0</t>
  </si>
  <si>
    <t>17.433.629-6</t>
  </si>
  <si>
    <t>19.467.265-9</t>
  </si>
  <si>
    <t>20.981.687-3</t>
  </si>
  <si>
    <t>20.766.075-2</t>
  </si>
  <si>
    <t>20.347.179-3</t>
  </si>
  <si>
    <t>15.979.959-K</t>
  </si>
  <si>
    <t>19.552.202-2</t>
  </si>
  <si>
    <t>20.352.648-2</t>
  </si>
  <si>
    <t>21.185.228-3</t>
  </si>
  <si>
    <t>18.343.068-8</t>
  </si>
  <si>
    <t>17.012.319-0</t>
  </si>
  <si>
    <t>19.864.093-K</t>
  </si>
  <si>
    <t>19.432.300-K</t>
  </si>
  <si>
    <t>17.655.883-0</t>
  </si>
  <si>
    <t>22.856.322-6</t>
  </si>
  <si>
    <t>18.124.985-4</t>
  </si>
  <si>
    <t>12.834.811-5</t>
  </si>
  <si>
    <t>19.538.030-9</t>
  </si>
  <si>
    <t>17.656.059-2</t>
  </si>
  <si>
    <t>19.252.860-7</t>
  </si>
  <si>
    <t>14.419.175-7</t>
  </si>
  <si>
    <t>18.520.943-1</t>
  </si>
  <si>
    <t>16.259.980-1</t>
  </si>
  <si>
    <t>17.284.691-2</t>
  </si>
  <si>
    <t>21.140.103-6</t>
  </si>
  <si>
    <t>20.274.683-7</t>
  </si>
  <si>
    <t>12.832.205-1</t>
  </si>
  <si>
    <t>17.492.399-K</t>
  </si>
  <si>
    <t>15.970.156-5</t>
  </si>
  <si>
    <t>GIOVANNI CONTRERAS MUÑOZ</t>
  </si>
  <si>
    <t>20.352.474-9</t>
  </si>
  <si>
    <t>19.253.066-0</t>
  </si>
  <si>
    <t>15.710.636-8</t>
  </si>
  <si>
    <t>16.833.226-2</t>
  </si>
  <si>
    <t>15.693.285-k</t>
  </si>
  <si>
    <t>16.829.133-7</t>
  </si>
  <si>
    <t>HARRY MAMANI GONZALEZ</t>
  </si>
  <si>
    <t>12.607.702-5</t>
  </si>
  <si>
    <t>17.974.271-3</t>
  </si>
  <si>
    <t>21.012.980-4</t>
  </si>
  <si>
    <t>18.496.680-8</t>
  </si>
  <si>
    <t>13.535.361-2</t>
  </si>
  <si>
    <t>17.163.244-7</t>
  </si>
  <si>
    <t>17.392.012-1</t>
  </si>
  <si>
    <t>17.092.538-6</t>
  </si>
  <si>
    <t>12.419.356-7</t>
  </si>
  <si>
    <t>19.351.934-2</t>
  </si>
  <si>
    <t>DAVID DANTAGnAN CARDENAS</t>
  </si>
  <si>
    <t>19.867.488-5</t>
  </si>
  <si>
    <t>CHI-LIN LUY GONZÁLEZ</t>
  </si>
  <si>
    <t>17.174.175-0</t>
  </si>
  <si>
    <t>19.104.562-9</t>
  </si>
  <si>
    <t>18.506.683-5</t>
  </si>
  <si>
    <t>18.825.583-3</t>
  </si>
  <si>
    <t>18.179.935-8</t>
  </si>
  <si>
    <t>19.398.640-4</t>
  </si>
  <si>
    <t>15.149.160-K</t>
  </si>
  <si>
    <t>17.279.846-2</t>
  </si>
  <si>
    <t>16.352.371-K</t>
  </si>
  <si>
    <t>10.920.581-8</t>
  </si>
  <si>
    <t>17.121.472-6</t>
  </si>
  <si>
    <t>RENATO ESPINOZA SANCHEZ</t>
  </si>
  <si>
    <t>23.295.011-0</t>
  </si>
  <si>
    <t>18.521.278-5</t>
  </si>
  <si>
    <t>15.947.812-2</t>
  </si>
  <si>
    <t>18.002.649-5</t>
  </si>
  <si>
    <t>9.941.712-9</t>
  </si>
  <si>
    <t>11.101.351-9</t>
  </si>
  <si>
    <t>17.902.362-8</t>
  </si>
  <si>
    <t>17.165.030-5</t>
  </si>
  <si>
    <t>16.294.664-1</t>
  </si>
  <si>
    <t>23.455.270-8</t>
  </si>
  <si>
    <t>19.869.128-3</t>
  </si>
  <si>
    <t>20.735.342-6</t>
  </si>
  <si>
    <t>18.757.804-3</t>
  </si>
  <si>
    <t>18.984.112-4</t>
  </si>
  <si>
    <t>21.387.458-6</t>
  </si>
  <si>
    <t>13.181.955-2</t>
  </si>
  <si>
    <t>19.352.615-2</t>
  </si>
  <si>
    <t>18.184.333-0</t>
  </si>
  <si>
    <t>19.969.028-0</t>
  </si>
  <si>
    <t>19.980.379-4</t>
  </si>
  <si>
    <t>16.110.624-0</t>
  </si>
  <si>
    <t>LUIS NUÑEZ ROJAS</t>
  </si>
  <si>
    <t>10.649.920-9</t>
  </si>
  <si>
    <t>12.571.470-6</t>
  </si>
  <si>
    <t>17.018.417-3</t>
  </si>
  <si>
    <t>19.826.194-7</t>
  </si>
  <si>
    <t>19.205.023-5</t>
  </si>
  <si>
    <t>20.098.790-K</t>
  </si>
  <si>
    <t>16.591.798-7</t>
  </si>
  <si>
    <t>14.509.020-2</t>
  </si>
  <si>
    <t>15.067.608-8</t>
  </si>
  <si>
    <t>15.013.964-3</t>
  </si>
  <si>
    <t>20.260.240-1</t>
  </si>
  <si>
    <t>16.280.945-8</t>
  </si>
  <si>
    <t>19.824.676-K</t>
  </si>
  <si>
    <t>13.213.836-2</t>
  </si>
  <si>
    <t>17.656.770-8</t>
  </si>
  <si>
    <t>18.183.181-2</t>
  </si>
  <si>
    <t>18.353.265-0</t>
  </si>
  <si>
    <t>17.392.038-5</t>
  </si>
  <si>
    <t>15.011.725-9</t>
  </si>
  <si>
    <t>16.593.690-6</t>
  </si>
  <si>
    <t>18.868.638-9</t>
  </si>
  <si>
    <t>14.382.887-5</t>
  </si>
  <si>
    <t>14.553.839-4</t>
  </si>
  <si>
    <t>16.326.687-3</t>
  </si>
  <si>
    <t>10.174.644-5</t>
  </si>
  <si>
    <t>21.402.715-1</t>
  </si>
  <si>
    <t>15.015.934-2</t>
  </si>
  <si>
    <t>14.108.909-9</t>
  </si>
  <si>
    <t>16.258.823-0</t>
  </si>
  <si>
    <t>19.950.603-K</t>
  </si>
  <si>
    <t>22.474.820-5</t>
  </si>
  <si>
    <t>15.513.831-9</t>
  </si>
  <si>
    <t>15.220.906-1</t>
  </si>
  <si>
    <t>ALEXIS HERRERA HERRERA</t>
  </si>
  <si>
    <t>21.981.317-1</t>
  </si>
  <si>
    <t>19.939.401-0</t>
  </si>
  <si>
    <t>15.000.869-7</t>
  </si>
  <si>
    <t>19.496.336-K</t>
  </si>
  <si>
    <t>10.487.640-4</t>
  </si>
  <si>
    <t>18.827.199-5</t>
  </si>
  <si>
    <t>16.062.651-8</t>
  </si>
  <si>
    <t>16.595.622-2</t>
  </si>
  <si>
    <t>18.371.885-1</t>
  </si>
  <si>
    <t>17.974.015-k</t>
  </si>
  <si>
    <t>20.966.538-7</t>
  </si>
  <si>
    <t>19.852.159-0</t>
  </si>
  <si>
    <t>10.089.139-5</t>
  </si>
  <si>
    <t>20.352.192-8</t>
  </si>
  <si>
    <t>18.521.184-3</t>
  </si>
  <si>
    <t>21.378.162-6</t>
  </si>
  <si>
    <t>21.403.466-2</t>
  </si>
  <si>
    <t>20.921.466-0</t>
  </si>
  <si>
    <t>20.751.658-9</t>
  </si>
  <si>
    <t>19.146.897-K</t>
  </si>
  <si>
    <t>13.532.619-4</t>
  </si>
  <si>
    <t>17.246.054-2</t>
  </si>
  <si>
    <t>19.205.067-7</t>
  </si>
  <si>
    <t>25.252.912-8</t>
  </si>
  <si>
    <t>LUISA FERNANDA PARRA LOPEZ</t>
  </si>
  <si>
    <t>19.979.332-2</t>
  </si>
  <si>
    <t>10.050.588-6</t>
  </si>
  <si>
    <t>17.828.739-7</t>
  </si>
  <si>
    <t>SEBASTIAN VILLELA COLLAO</t>
  </si>
  <si>
    <t>19.692.071-4</t>
  </si>
  <si>
    <t>RODRIGO DIAZ MALUENDA</t>
  </si>
  <si>
    <t>19.552.493-9</t>
  </si>
  <si>
    <t>19.505.098-8</t>
  </si>
  <si>
    <t>VICTOR PIZARRO GALLARDO</t>
  </si>
  <si>
    <t>15.947.238-8</t>
  </si>
  <si>
    <t>FRANCISCO ROJAS PLAZA</t>
  </si>
  <si>
    <t>18.710.278-2</t>
  </si>
  <si>
    <t>20.734.976-3</t>
  </si>
  <si>
    <t>CAMILO SALGADO GONZÁLEZ</t>
  </si>
  <si>
    <t>17.012.480-4</t>
  </si>
  <si>
    <t>19.373.808-7</t>
  </si>
  <si>
    <t>20.228.794-8</t>
  </si>
  <si>
    <t>20.600.081-3</t>
  </si>
  <si>
    <t>13.417.664-4</t>
  </si>
  <si>
    <t>MIGUEL ROJAS AVILAS</t>
  </si>
  <si>
    <t>16.565.094-8</t>
  </si>
  <si>
    <t>20.441.738-5</t>
  </si>
  <si>
    <t>17.092.818-0</t>
  </si>
  <si>
    <t>17.644.439-8</t>
  </si>
  <si>
    <t>16.059.741-0</t>
  </si>
  <si>
    <t>17.126.398-0</t>
  </si>
  <si>
    <t>13.743.525-K</t>
  </si>
  <si>
    <t>ALEXIS VILLAGRAN TABILO</t>
  </si>
  <si>
    <t>17.655.977-2</t>
  </si>
  <si>
    <t>LUIS VEAS IRIARTE</t>
  </si>
  <si>
    <t>19.357.254-5</t>
  </si>
  <si>
    <t>14.535.481-1</t>
  </si>
  <si>
    <t>14.309.408-1</t>
  </si>
  <si>
    <t>JOSE NUÑEZ RENDIC</t>
  </si>
  <si>
    <t>20.451.662-6</t>
  </si>
  <si>
    <t>GIANFRANCO CASONI MARTÍNEZ</t>
  </si>
  <si>
    <t>8.265.686-3</t>
  </si>
  <si>
    <t>18.273.568-K</t>
  </si>
  <si>
    <t>11.932.173-5</t>
  </si>
  <si>
    <t>13.176.816-8</t>
  </si>
  <si>
    <t>14.601.156-K</t>
  </si>
  <si>
    <t>17.867.062-K</t>
  </si>
  <si>
    <t>16.549.827-5</t>
  </si>
  <si>
    <t>15.733.220-1</t>
  </si>
  <si>
    <t>18.183.699-7</t>
  </si>
  <si>
    <t>10.220.933-8</t>
  </si>
  <si>
    <t>17.861.249-2</t>
  </si>
  <si>
    <t>20.082.334-6</t>
  </si>
  <si>
    <t>19.664.545-4</t>
  </si>
  <si>
    <t>16.226.957-7</t>
  </si>
  <si>
    <t>14.581.463-4</t>
  </si>
  <si>
    <t>13.358.502-8</t>
  </si>
  <si>
    <t>12.210.034-0</t>
  </si>
  <si>
    <t>13.217.405-9</t>
  </si>
  <si>
    <t>18.125.852-7</t>
  </si>
  <si>
    <t>17.737.054-1</t>
  </si>
  <si>
    <t>19.099.699-9</t>
  </si>
  <si>
    <t>17.445.250-4</t>
  </si>
  <si>
    <t>EDGARD ARAVENA SALGADO</t>
  </si>
  <si>
    <t>14.568.854-K</t>
  </si>
  <si>
    <t>25.001.170-9</t>
  </si>
  <si>
    <t>13.632.538-8</t>
  </si>
  <si>
    <t>13.632.298-2</t>
  </si>
  <si>
    <t>GERARDO ZAMORANO HONORATO</t>
  </si>
  <si>
    <t>20.525.806-K</t>
  </si>
  <si>
    <t>MARCO PASTÉN ROJAS</t>
  </si>
  <si>
    <t>16.441.116-8</t>
  </si>
  <si>
    <t>PABLO VERA GUZMAN</t>
  </si>
  <si>
    <t>WILSON CORTES OLIVARES</t>
  </si>
  <si>
    <t>15.615.715-5</t>
  </si>
  <si>
    <t>19.334.828-9</t>
  </si>
  <si>
    <t>JAISON VEJAR HERRERA</t>
  </si>
  <si>
    <t>BENITO CASTILLO OMAÑA</t>
  </si>
  <si>
    <t>17.000.591-0</t>
  </si>
  <si>
    <t>VÍCTOR PEÑA MUÑOZ</t>
  </si>
  <si>
    <t>LUKAS HERRADA MUSRI</t>
  </si>
  <si>
    <t>10.628.033-9</t>
  </si>
  <si>
    <t xml:space="preserve">SERGIO ZEPEDA GARCIA </t>
  </si>
  <si>
    <t>22.198.005-0</t>
  </si>
  <si>
    <t>JUAN BAHAMONDES GUERRA</t>
  </si>
  <si>
    <t>17.453.003-3</t>
  </si>
  <si>
    <t>EDUARDO LANAS CARRASCO</t>
  </si>
  <si>
    <t>21.256.995-K</t>
  </si>
  <si>
    <t>JOHAN CORTÉS BARRAZA</t>
  </si>
  <si>
    <t>17.093.254-4</t>
  </si>
  <si>
    <t>SEBASTIAN REYGADA CURIHUENTRO</t>
  </si>
  <si>
    <t>ALEJANDRO SUÑIGA ROMERO</t>
  </si>
  <si>
    <t>18.960.586-2</t>
  </si>
  <si>
    <t>GUSTAVO CÉSPEDES ZAVALA</t>
  </si>
  <si>
    <t>16.560.085-1</t>
  </si>
  <si>
    <t>CRISTOPHER DÍAZ CONTRERAS</t>
  </si>
  <si>
    <t>20.529.022-2</t>
  </si>
  <si>
    <t>BENJAMÍN TRUJILLO CONTRERAS</t>
  </si>
  <si>
    <t>20.553.857-7</t>
  </si>
  <si>
    <t>18.684.183-2</t>
  </si>
  <si>
    <t>20.561.647-0</t>
  </si>
  <si>
    <t>20.221.374-k</t>
  </si>
  <si>
    <t>18.183.575-3</t>
  </si>
  <si>
    <t>HECTOR TOLEDO MONTAÑA</t>
  </si>
  <si>
    <t>PEDRO CAVIEDES VELÁSQUEZ</t>
  </si>
  <si>
    <t>17.654.265-9</t>
  </si>
  <si>
    <t>JORDAN LEDEZMA VIZCARRA</t>
  </si>
  <si>
    <t>21.905.795-4</t>
  </si>
  <si>
    <t xml:space="preserve">ABRAHAM ROJAS GUZMAN </t>
  </si>
  <si>
    <t>GARY REYGADA FERNANDEZ</t>
  </si>
  <si>
    <t xml:space="preserve">JOSÉ GUTIERREZ CONCHA </t>
  </si>
  <si>
    <t>VALENTINA CASTILLO CERECEDA</t>
  </si>
  <si>
    <t>20.399.802-3</t>
  </si>
  <si>
    <t>21.717.144-K</t>
  </si>
  <si>
    <t>21.671.127-0</t>
  </si>
  <si>
    <t>SANTIAGO PATIÑO ALVEAR</t>
  </si>
  <si>
    <t>UA</t>
  </si>
  <si>
    <t>18.580.352-K</t>
  </si>
  <si>
    <t xml:space="preserve">AIZA DE FERRARI GORDILLO </t>
  </si>
  <si>
    <t>19.824.546-1</t>
  </si>
  <si>
    <t>YISEL FARIAS AGUIRRE</t>
  </si>
  <si>
    <t>16.623732-7</t>
  </si>
  <si>
    <t>SOLANGE RORE RIQUELME</t>
  </si>
  <si>
    <t>VICTOR CAMPILLAY CAMPILLAY</t>
  </si>
  <si>
    <t>CRHISTIAN SALAZAR GAVIA</t>
  </si>
  <si>
    <t>17.289.071-7</t>
  </si>
  <si>
    <t>20.167.551-0</t>
  </si>
  <si>
    <t>MATIAS TAPIA HONORES</t>
  </si>
  <si>
    <t>16.453.544-4</t>
  </si>
  <si>
    <t>JOSE FLORES MONTENEGRO</t>
  </si>
  <si>
    <t>MIGUEL SIERRA  RUARTE</t>
  </si>
  <si>
    <t>15.924486-5</t>
  </si>
  <si>
    <t>SEBASTIAN CAUCOTA CASTILLO</t>
  </si>
  <si>
    <t>NELLY ECHEVERRIA ARAYA</t>
  </si>
  <si>
    <t>14.413.359-5</t>
  </si>
  <si>
    <t xml:space="preserve">RUT </t>
  </si>
  <si>
    <t>E-MAIL</t>
  </si>
  <si>
    <t>CARGO</t>
  </si>
  <si>
    <t>EMPRESA</t>
  </si>
  <si>
    <t xml:space="preserve">LICENCIA </t>
  </si>
  <si>
    <t>Komatsu Chile S.A.</t>
  </si>
  <si>
    <t>Kcc</t>
  </si>
  <si>
    <t>Kmc</t>
  </si>
  <si>
    <t>Electromecanico 1C</t>
  </si>
  <si>
    <t>Programador</t>
  </si>
  <si>
    <t>Electromecanico 1F</t>
  </si>
  <si>
    <t>Eléctrico 1C</t>
  </si>
  <si>
    <t>Electromecánico 1F</t>
  </si>
  <si>
    <t>Electromecánico 1-F</t>
  </si>
  <si>
    <t>Mecanico 1-B</t>
  </si>
  <si>
    <t>Técnico Especialista B</t>
  </si>
  <si>
    <t>Especialista A</t>
  </si>
  <si>
    <t>Electromecanico 1D</t>
  </si>
  <si>
    <t>Mecánico Operador</t>
  </si>
  <si>
    <t>Especialista B</t>
  </si>
  <si>
    <t>Coordinador De Mantención</t>
  </si>
  <si>
    <t>Técnico Mantendor  N2</t>
  </si>
  <si>
    <t>Electromecánico 1-E</t>
  </si>
  <si>
    <t>Mecanico 1-E</t>
  </si>
  <si>
    <t>Supervisor</t>
  </si>
  <si>
    <t>Mecanico 1E</t>
  </si>
  <si>
    <t>Mecánico 1-F</t>
  </si>
  <si>
    <t>Subgerente Planificación Del Mantenimiento</t>
  </si>
  <si>
    <t>Analista De Gestión</t>
  </si>
  <si>
    <t>Electromecánico 2-A</t>
  </si>
  <si>
    <t>Técnico Mantenedor Nv 3</t>
  </si>
  <si>
    <t>Mecanico 1-C</t>
  </si>
  <si>
    <t>Mecanico 1-F</t>
  </si>
  <si>
    <t>Electromecanico 1-E</t>
  </si>
  <si>
    <t xml:space="preserve">Jefe De Planificación </t>
  </si>
  <si>
    <t>Administrativo De Faena</t>
  </si>
  <si>
    <t>Encargado De Garantías</t>
  </si>
  <si>
    <t>Mecanico 1-A</t>
  </si>
  <si>
    <t>Asesor Técnico</t>
  </si>
  <si>
    <t>Ingeniero De Mantenimiento</t>
  </si>
  <si>
    <t>Electromecánico 1-D</t>
  </si>
  <si>
    <t>Electromecánico 1-A</t>
  </si>
  <si>
    <t>Electromecanico 1-F</t>
  </si>
  <si>
    <t>Electromecánico 1-C</t>
  </si>
  <si>
    <t>Inspector Técnico</t>
  </si>
  <si>
    <t>Técnico Especialista Senior</t>
  </si>
  <si>
    <t>Ingeniero De Planificación</t>
  </si>
  <si>
    <t>Técnico Mantendor N2</t>
  </si>
  <si>
    <t>Electromecánico 1-B</t>
  </si>
  <si>
    <t>Jefe De Administración Y Control De Gestión</t>
  </si>
  <si>
    <t>Electromecanico 1E</t>
  </si>
  <si>
    <t>Jefe De Operaciones</t>
  </si>
  <si>
    <t>Jefe Operaciones</t>
  </si>
  <si>
    <t xml:space="preserve">Inspector Técnico </t>
  </si>
  <si>
    <t>Especialista C</t>
  </si>
  <si>
    <t>Especialista Senior</t>
  </si>
  <si>
    <t>Jefe De Mantención</t>
  </si>
  <si>
    <t>Jefe De Proyectos</t>
  </si>
  <si>
    <t>Estadístico De Faena</t>
  </si>
  <si>
    <t>Ingeniero De Confiabilidad</t>
  </si>
  <si>
    <t xml:space="preserve"> Soldador Mecánico</t>
  </si>
  <si>
    <t>Eléctrico 1-F</t>
  </si>
  <si>
    <t>Eléctrico 1-C</t>
  </si>
  <si>
    <t>Soldador Mecánico</t>
  </si>
  <si>
    <t>Eléctrico 1-B</t>
  </si>
  <si>
    <t>Jefe Soporte Técnico</t>
  </si>
  <si>
    <t>Mecanico Soldador</t>
  </si>
  <si>
    <t xml:space="preserve"> Mecanico Operador</t>
  </si>
  <si>
    <t>Mecanico 1-D</t>
  </si>
  <si>
    <t>Mecánico Soldador</t>
  </si>
  <si>
    <t>Mecanico Operador</t>
  </si>
  <si>
    <t>Chofer Lubricador</t>
  </si>
  <si>
    <t>Jefe Confiabilidad</t>
  </si>
  <si>
    <t>Planificador</t>
  </si>
  <si>
    <t>Tecnico Especialista A</t>
  </si>
  <si>
    <t xml:space="preserve"> Soldador</t>
  </si>
  <si>
    <t>Supervisor De Subcontratos En Faena</t>
  </si>
  <si>
    <t>Tutor De Capacitación</t>
  </si>
  <si>
    <t>Jefe De Planificación</t>
  </si>
  <si>
    <t>Expeditor</t>
  </si>
  <si>
    <t>Gerente Proyectos</t>
  </si>
  <si>
    <t>Electrónico 1-C</t>
  </si>
  <si>
    <t>Ingeniero Confiabilidad</t>
  </si>
  <si>
    <t>Analista De Servicios A Las Personas</t>
  </si>
  <si>
    <t>Ingeniero Planificación</t>
  </si>
  <si>
    <t>Mecánico 1B</t>
  </si>
  <si>
    <t>Especialista De Servicios A Las Personas</t>
  </si>
  <si>
    <t>ALEJANDRO ARANCIBIA CAVOUR</t>
  </si>
  <si>
    <t xml:space="preserve">CEDULA </t>
  </si>
  <si>
    <t xml:space="preserve">EXAMEN OCUPACIONAL </t>
  </si>
  <si>
    <t>INDUCCIÓN HOMBRE NUEVO</t>
  </si>
  <si>
    <t>ID</t>
  </si>
  <si>
    <t>21012980-4</t>
  </si>
  <si>
    <t>21905795-4</t>
  </si>
  <si>
    <t>18580352-k</t>
  </si>
  <si>
    <t>21402715-1</t>
  </si>
  <si>
    <t>20221374-K</t>
  </si>
  <si>
    <t>18703725-5</t>
  </si>
  <si>
    <t>14108909-9</t>
  </si>
  <si>
    <t>10220933-8</t>
  </si>
  <si>
    <t>21378162-6</t>
  </si>
  <si>
    <t>15220906-1</t>
  </si>
  <si>
    <t>13743525-K</t>
  </si>
  <si>
    <t>18868638-9</t>
  </si>
  <si>
    <t>13535361-2</t>
  </si>
  <si>
    <t>19146897-K</t>
  </si>
  <si>
    <t>15000869-7</t>
  </si>
  <si>
    <t>18125400-9</t>
  </si>
  <si>
    <t>17867062-K</t>
  </si>
  <si>
    <t>18482647-K</t>
  </si>
  <si>
    <t>17655883-0</t>
  </si>
  <si>
    <t>17974015-k</t>
  </si>
  <si>
    <t>13172480-2</t>
  </si>
  <si>
    <t>16493030-0</t>
  </si>
  <si>
    <t>17392012-1</t>
  </si>
  <si>
    <t>18183181-2</t>
  </si>
  <si>
    <t>17861249-2</t>
  </si>
  <si>
    <t>19979332-2</t>
  </si>
  <si>
    <t>18125852-7</t>
  </si>
  <si>
    <t>20529022-2</t>
  </si>
  <si>
    <t>19463519-2</t>
  </si>
  <si>
    <t>21981317-1</t>
  </si>
  <si>
    <t>17246055-0</t>
  </si>
  <si>
    <t>20274647-0</t>
  </si>
  <si>
    <t>19825050-3</t>
  </si>
  <si>
    <t>17092538-6</t>
  </si>
  <si>
    <t>20734976-3</t>
  </si>
  <si>
    <t>15769371-9</t>
  </si>
  <si>
    <t>12419356-7</t>
  </si>
  <si>
    <t>20098790-K</t>
  </si>
  <si>
    <t>19939401-0</t>
  </si>
  <si>
    <t>15693285-k</t>
  </si>
  <si>
    <t>12210034-0</t>
  </si>
  <si>
    <t>16824319-7</t>
  </si>
  <si>
    <t>17433629-6</t>
  </si>
  <si>
    <t>19867631-4</t>
  </si>
  <si>
    <t>19867488-5</t>
  </si>
  <si>
    <t>20260240-1</t>
  </si>
  <si>
    <t>18100391-K</t>
  </si>
  <si>
    <t>20735342-6</t>
  </si>
  <si>
    <t>22474820-5</t>
  </si>
  <si>
    <t>21185228-3</t>
  </si>
  <si>
    <t>12442918-8</t>
  </si>
  <si>
    <t>12571470-6</t>
  </si>
  <si>
    <t>19664545-4</t>
  </si>
  <si>
    <t>18984112-4</t>
  </si>
  <si>
    <t>17289071-7</t>
  </si>
  <si>
    <t>16258823-0</t>
  </si>
  <si>
    <t>16294664-1</t>
  </si>
  <si>
    <t>19538264-6</t>
  </si>
  <si>
    <t>17012319-0</t>
  </si>
  <si>
    <t>15979959-K</t>
  </si>
  <si>
    <t>13213836-2</t>
  </si>
  <si>
    <t>18273568-K</t>
  </si>
  <si>
    <t>20348189-6</t>
  </si>
  <si>
    <t>16566699-2</t>
  </si>
  <si>
    <t>16560085-1</t>
  </si>
  <si>
    <t>20352192-8</t>
  </si>
  <si>
    <t>20600081-3</t>
  </si>
  <si>
    <t>17725257-3</t>
  </si>
  <si>
    <t>25001170-9</t>
  </si>
  <si>
    <t>12607702-5</t>
  </si>
  <si>
    <t>19351934-2</t>
  </si>
  <si>
    <t>19980379-4</t>
  </si>
  <si>
    <t>18124985-4</t>
  </si>
  <si>
    <t>16062651-8</t>
  </si>
  <si>
    <t>18506683-5</t>
  </si>
  <si>
    <t>21140103-6</t>
  </si>
  <si>
    <t>15067608-8</t>
  </si>
  <si>
    <t>18943848-6</t>
  </si>
  <si>
    <t>20921466-0</t>
  </si>
  <si>
    <t>17445250-4</t>
  </si>
  <si>
    <t>9133711-8</t>
  </si>
  <si>
    <t>17902362-8</t>
  </si>
  <si>
    <t>17453003-3</t>
  </si>
  <si>
    <t>20133232-K</t>
  </si>
  <si>
    <t>23455270-8</t>
  </si>
  <si>
    <t>10089139-5</t>
  </si>
  <si>
    <t>20352474-9</t>
  </si>
  <si>
    <t>14509020-2</t>
  </si>
  <si>
    <t>17163244-7</t>
  </si>
  <si>
    <t>20082334-6</t>
  </si>
  <si>
    <t>18757804-3</t>
  </si>
  <si>
    <t>20399173-8</t>
  </si>
  <si>
    <t>16466823-1</t>
  </si>
  <si>
    <t>20347179-3</t>
  </si>
  <si>
    <t>17172507-0</t>
  </si>
  <si>
    <t>18496680-8</t>
  </si>
  <si>
    <t>18183699-7</t>
  </si>
  <si>
    <t>15615715-5</t>
  </si>
  <si>
    <t>18179935-8</t>
  </si>
  <si>
    <t>15013964-3</t>
  </si>
  <si>
    <t>14601156-K</t>
  </si>
  <si>
    <t>19206141-5</t>
  </si>
  <si>
    <t>19352615-2</t>
  </si>
  <si>
    <t>18521184-3</t>
  </si>
  <si>
    <t>17492399-K</t>
  </si>
  <si>
    <t>15947238-8</t>
  </si>
  <si>
    <t>17092818-0</t>
  </si>
  <si>
    <t>13532619-4</t>
  </si>
  <si>
    <t>19467265-9</t>
  </si>
  <si>
    <t>18343068-8</t>
  </si>
  <si>
    <t>16593690-6</t>
  </si>
  <si>
    <t>17246054-2</t>
  </si>
  <si>
    <t>22856322-6</t>
  </si>
  <si>
    <t>13632298-2</t>
  </si>
  <si>
    <t>18825583-3</t>
  </si>
  <si>
    <t>20451662-6</t>
  </si>
  <si>
    <t>15970156-5</t>
  </si>
  <si>
    <t>13217405-9</t>
  </si>
  <si>
    <t>16868973-k</t>
  </si>
  <si>
    <t>14535481-1</t>
  </si>
  <si>
    <t>15705129-6</t>
  </si>
  <si>
    <t>17392038-5</t>
  </si>
  <si>
    <t>18960586-2</t>
  </si>
  <si>
    <t>16829133-7</t>
  </si>
  <si>
    <t>14412026-4</t>
  </si>
  <si>
    <t>16591798-7</t>
  </si>
  <si>
    <t>20981687-3</t>
  </si>
  <si>
    <t>13176816-8</t>
  </si>
  <si>
    <t>12832205-1</t>
  </si>
  <si>
    <t>19950603-K</t>
  </si>
  <si>
    <t>21025276-2</t>
  </si>
  <si>
    <t>19826194-7</t>
  </si>
  <si>
    <t>17018417-3</t>
  </si>
  <si>
    <t>17012480-4</t>
  </si>
  <si>
    <t>19871539-5</t>
  </si>
  <si>
    <t>17656059-2</t>
  </si>
  <si>
    <t>17246344-4</t>
  </si>
  <si>
    <t>19334828-9</t>
  </si>
  <si>
    <t>19852159-0</t>
  </si>
  <si>
    <t>21467074-7</t>
  </si>
  <si>
    <t>18125329-0</t>
  </si>
  <si>
    <t>17528299-8</t>
  </si>
  <si>
    <t>17279846-2</t>
  </si>
  <si>
    <t>18353265-0</t>
  </si>
  <si>
    <t>21256995-K</t>
  </si>
  <si>
    <t>17737054-1</t>
  </si>
  <si>
    <t>14581463-4</t>
  </si>
  <si>
    <t>16785107-K</t>
  </si>
  <si>
    <t>17654265-9</t>
  </si>
  <si>
    <t>19205067-7</t>
  </si>
  <si>
    <t>14419175-7</t>
  </si>
  <si>
    <t>17452286-3</t>
  </si>
  <si>
    <t>16453544-4</t>
  </si>
  <si>
    <t>21671127-0</t>
  </si>
  <si>
    <t>18826074-8</t>
  </si>
  <si>
    <t>14309408-1</t>
  </si>
  <si>
    <t>10649920-9</t>
  </si>
  <si>
    <t>15015302-6</t>
  </si>
  <si>
    <t>15733220-1</t>
  </si>
  <si>
    <t>16565053-0</t>
  </si>
  <si>
    <t>15812632-k</t>
  </si>
  <si>
    <t>18884949-0</t>
  </si>
  <si>
    <t>20766075-2</t>
  </si>
  <si>
    <t>16602123-5</t>
  </si>
  <si>
    <t>22198005-0</t>
  </si>
  <si>
    <t>15000986-3</t>
  </si>
  <si>
    <t>18539817-K</t>
  </si>
  <si>
    <t>16326687-3</t>
  </si>
  <si>
    <t>23692021-6</t>
  </si>
  <si>
    <t>19099699-9</t>
  </si>
  <si>
    <t>17536144-8</t>
  </si>
  <si>
    <t>14109358-4</t>
  </si>
  <si>
    <t>16226957-7</t>
  </si>
  <si>
    <t>16595622-2</t>
  </si>
  <si>
    <t>19552202-2</t>
  </si>
  <si>
    <t>20526016-1</t>
  </si>
  <si>
    <t>16259980-1</t>
  </si>
  <si>
    <t>12427793-0</t>
  </si>
  <si>
    <t>18184333-0</t>
  </si>
  <si>
    <t>15513831-9</t>
  </si>
  <si>
    <t>16274559-K</t>
  </si>
  <si>
    <t>17715371-0</t>
  </si>
  <si>
    <t>13181955-2</t>
  </si>
  <si>
    <t>19864093-K</t>
  </si>
  <si>
    <t>18371885-1</t>
  </si>
  <si>
    <t>16110624-0</t>
  </si>
  <si>
    <t>18684183-2</t>
  </si>
  <si>
    <t>14308582-1</t>
  </si>
  <si>
    <t>19253066-0</t>
  </si>
  <si>
    <t>17655977-2</t>
  </si>
  <si>
    <t>25252912-8</t>
  </si>
  <si>
    <t>18483911-3</t>
  </si>
  <si>
    <t>20553857-7</t>
  </si>
  <si>
    <t>11101351-9</t>
  </si>
  <si>
    <t>19398640-4</t>
  </si>
  <si>
    <t>16280945-8</t>
  </si>
  <si>
    <t>14393784-4</t>
  </si>
  <si>
    <t>20228794-8</t>
  </si>
  <si>
    <t>19147854-1</t>
  </si>
  <si>
    <t>19205023-5</t>
  </si>
  <si>
    <t>20966538-7</t>
  </si>
  <si>
    <t>19969028-0</t>
  </si>
  <si>
    <t>20525806-K</t>
  </si>
  <si>
    <t>10487640-4</t>
  </si>
  <si>
    <t>17174175-0</t>
  </si>
  <si>
    <t>10050588-6</t>
  </si>
  <si>
    <t>17656770-8</t>
  </si>
  <si>
    <t>17744634-3</t>
  </si>
  <si>
    <t>10978655-1</t>
  </si>
  <si>
    <t>14553839-4</t>
  </si>
  <si>
    <t>21403466-2</t>
  </si>
  <si>
    <t>15149160-K</t>
  </si>
  <si>
    <t>19694614-4</t>
  </si>
  <si>
    <t>20167551-0</t>
  </si>
  <si>
    <t>16059741-0</t>
  </si>
  <si>
    <t>12947052-6</t>
  </si>
  <si>
    <t>17655738-9</t>
  </si>
  <si>
    <t>13417664-4</t>
  </si>
  <si>
    <t>20274683-7</t>
  </si>
  <si>
    <t>13632538-8</t>
  </si>
  <si>
    <t>15710636-8</t>
  </si>
  <si>
    <t>13358502-8</t>
  </si>
  <si>
    <t>16565997-K</t>
  </si>
  <si>
    <t>21387458-6</t>
  </si>
  <si>
    <t>14413359-5</t>
  </si>
  <si>
    <t>17846810-3</t>
  </si>
  <si>
    <t>19252860-7</t>
  </si>
  <si>
    <t>14104128-2</t>
  </si>
  <si>
    <t>20381171-3</t>
  </si>
  <si>
    <t>20348504-2</t>
  </si>
  <si>
    <t>19869128-3</t>
  </si>
  <si>
    <t>19432300-K</t>
  </si>
  <si>
    <t>20352297-5</t>
  </si>
  <si>
    <t>11932173-5</t>
  </si>
  <si>
    <t>18739471-6</t>
  </si>
  <si>
    <t>14382887-5</t>
  </si>
  <si>
    <t>16549827-5</t>
  </si>
  <si>
    <t>19824676-K</t>
  </si>
  <si>
    <t>16441116-k</t>
  </si>
  <si>
    <t>19955138-8</t>
  </si>
  <si>
    <t>10174644-5</t>
  </si>
  <si>
    <t>19357254-5</t>
  </si>
  <si>
    <t>14568854-K</t>
  </si>
  <si>
    <t>14560342-0</t>
  </si>
  <si>
    <t>20751658-9</t>
  </si>
  <si>
    <t>20561647-0</t>
  </si>
  <si>
    <t>18503272-8</t>
  </si>
  <si>
    <t>18827199-5</t>
  </si>
  <si>
    <t>19104562-9</t>
  </si>
  <si>
    <t>10920581-8</t>
  </si>
  <si>
    <t>9941712-9</t>
  </si>
  <si>
    <t>17165030-5</t>
  </si>
  <si>
    <t>16565094-8</t>
  </si>
  <si>
    <t>17277568-3</t>
  </si>
  <si>
    <t>17644439-8</t>
  </si>
  <si>
    <t>12834811-5</t>
  </si>
  <si>
    <t>17121472-6</t>
  </si>
  <si>
    <t>19898803-0</t>
  </si>
  <si>
    <t>16352371-K</t>
  </si>
  <si>
    <t>18972102-1</t>
  </si>
  <si>
    <t>17245903-K</t>
  </si>
  <si>
    <t>18710278-2</t>
  </si>
  <si>
    <t>18125375-4</t>
  </si>
  <si>
    <t>19692071-4</t>
  </si>
  <si>
    <t>15947993-5</t>
  </si>
  <si>
    <t>13632774-7</t>
  </si>
  <si>
    <t>17093275-7</t>
  </si>
  <si>
    <t>18521278-5</t>
  </si>
  <si>
    <t>20399802-3</t>
  </si>
  <si>
    <t>19552493-9</t>
  </si>
  <si>
    <t>15924486-5</t>
  </si>
  <si>
    <t>19968816-2</t>
  </si>
  <si>
    <t>19373808-7</t>
  </si>
  <si>
    <t>17093254-4</t>
  </si>
  <si>
    <t>16927573-4</t>
  </si>
  <si>
    <t>20274345-5</t>
  </si>
  <si>
    <t>20352648-2</t>
  </si>
  <si>
    <t>20911553-0</t>
  </si>
  <si>
    <t>17828739-7</t>
  </si>
  <si>
    <t>19496336-K</t>
  </si>
  <si>
    <t>10628033-9</t>
  </si>
  <si>
    <t>15015934-2</t>
  </si>
  <si>
    <t>16623732-7</t>
  </si>
  <si>
    <t>8265686-3</t>
  </si>
  <si>
    <t>16833226-2</t>
  </si>
  <si>
    <t>21717144-K</t>
  </si>
  <si>
    <t>23295011-0</t>
  </si>
  <si>
    <t>13745129-8</t>
  </si>
  <si>
    <t>12530524-5</t>
  </si>
  <si>
    <t>17284691-2</t>
  </si>
  <si>
    <t>15011725-9</t>
  </si>
  <si>
    <t>17000591-0</t>
  </si>
  <si>
    <t>19505098-8</t>
  </si>
  <si>
    <t>20441738-5</t>
  </si>
  <si>
    <t>13633602-9</t>
  </si>
  <si>
    <t>18520943-1</t>
  </si>
  <si>
    <t>18002649-5</t>
  </si>
  <si>
    <t>17126398-0</t>
  </si>
  <si>
    <t>16059866-2</t>
  </si>
  <si>
    <t>15947812-2</t>
  </si>
  <si>
    <t>18183575-3</t>
  </si>
  <si>
    <t>19824546-1</t>
  </si>
  <si>
    <t>19538030-9</t>
  </si>
  <si>
    <t>17829620-5</t>
  </si>
  <si>
    <t>17974271-3</t>
  </si>
  <si>
    <t xml:space="preserve">LICENCIA MUNICIPAL </t>
  </si>
  <si>
    <t xml:space="preserve">LICENCIA INTERNA </t>
  </si>
  <si>
    <t xml:space="preserve"> PSICOSENSOTÉCNICO</t>
  </si>
  <si>
    <t>15.924.486-5</t>
  </si>
  <si>
    <t xml:space="preserve">ABEL SOLIS </t>
  </si>
  <si>
    <t>16.623.732-7</t>
  </si>
  <si>
    <t>TÉCNICO SODI</t>
  </si>
  <si>
    <t>TÉCNICO HIDRÁULICO</t>
  </si>
  <si>
    <t>RAUL ALQUINTA GALARCE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</si>
</sst>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name val="Arial"/>
      <family val="2"/>
    </font>
    <font>
      <sz val="9"/>
      <color indexed="8"/>
      <name val="Arial Narrow"/>
      <family val="2"/>
    </font>
    <font>
      <sz val="10"/>
      <color rgb="FF000000"/>
      <name val="Arial"/>
      <family val="2"/>
    </font>
    <font>
      <b/>
      <sz val="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2" tint="-0.89999084444715716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0FB9"/>
        <bgColor indexed="64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49" fontId="4" fillId="3" borderId="0" applyBorder="0" applyProtection="0">
      <alignment horizontal="left" vertical="top" wrapText="1"/>
    </xf>
    <xf numFmtId="0" fontId="5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0" fillId="0" borderId="1" xfId="0" applyFont="1" applyBorder="1"/>
    <xf numFmtId="0" fontId="6" fillId="2" borderId="1" xfId="0" applyFont="1" applyFill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/>
    <xf numFmtId="0" fontId="2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1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14" fontId="6" fillId="2" borderId="5" xfId="0" applyNumberFormat="1" applyFont="1" applyFill="1" applyBorder="1" applyAlignment="1">
      <alignment horizontal="left" vertical="center" wrapText="1"/>
    </xf>
    <xf numFmtId="14" fontId="0" fillId="0" borderId="1" xfId="0" applyNumberFormat="1" applyBorder="1"/>
    <xf numFmtId="14" fontId="0" fillId="0" borderId="2" xfId="0" applyNumberFormat="1" applyBorder="1"/>
    <xf numFmtId="14" fontId="0" fillId="0" borderId="0" xfId="0" applyNumberFormat="1"/>
    <xf numFmtId="14" fontId="6" fillId="2" borderId="6" xfId="0" applyNumberFormat="1" applyFont="1" applyFill="1" applyBorder="1" applyAlignment="1">
      <alignment horizontal="left" vertical="center" wrapText="1"/>
    </xf>
    <xf numFmtId="14" fontId="0" fillId="0" borderId="7" xfId="0" applyNumberFormat="1" applyBorder="1"/>
    <xf numFmtId="14" fontId="0" fillId="0" borderId="9" xfId="0" applyNumberFormat="1" applyBorder="1"/>
    <xf numFmtId="49" fontId="2" fillId="0" borderId="2" xfId="0" applyNumberFormat="1" applyFont="1" applyBorder="1" applyAlignment="1">
      <alignment horizontal="left" vertical="center"/>
    </xf>
  </cellXfs>
  <cellStyles count="5">
    <cellStyle name="Hyperlink" xfId="4" xr:uid="{00000000-000B-0000-0000-000008000000}"/>
    <cellStyle name="Normal" xfId="0" builtinId="0"/>
    <cellStyle name="Normal 2" xfId="1" xr:uid="{E8C63345-3845-4FCD-BE21-88AE814B28B9}"/>
    <cellStyle name="Normal 3" xfId="3" xr:uid="{6FB86D0E-C02C-4AD2-8F0C-5D69252A521A}"/>
    <cellStyle name="WinCalendar_BlankCells_28" xfId="2" xr:uid="{C334C593-2E51-4D0E-BEB9-4EB7C4C71FB1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D9D9"/>
      <color rgb="FFFFFFFF"/>
      <color rgb="FF170FB9"/>
      <color rgb="FFFF7D7D"/>
      <color rgb="FFFFFF89"/>
      <color rgb="FFFFECAF"/>
      <color rgb="FFFFEAA7"/>
      <color rgb="FFFF0000"/>
      <color rgb="FFFFDDDD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solange_rore_global_komatsu/Documents/Solange%20Rore/Respaldo%20Disco%20Duro%20RRHH/5.%20EXAMENES/Vencimiento%20Actual.xlsm" TargetMode="External"/><Relationship Id="rId2" Type="http://schemas.openxmlformats.org/officeDocument/2006/relationships/externalLinkPath" Target="https://globalkomatsu-my.sharepoint.com/personal/solange_rore_global_komatsu/Documents/Solange%20Rore/Respaldo%20Disco%20Duro%20RRHH/5.%20EXAMENES/Vencimiento%20Actual.xlsm" TargetMode="External"/><Relationship Id="rId1" Type="http://schemas.openxmlformats.org/officeDocument/2006/relationships/externalLinkPath" Target="/personal/solange_rore_global_komatsu/Documents/Solange%20Rore/Respaldo%20Disco%20Duro%20RRHH/5.%20EXAMENES/Vencimiento%20Actual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TUTOR%20DE%20CAPACITACI&#211;N/Control%20Acreditaciones/Vencimiento%20Licencia.xlsx" TargetMode="External"/><Relationship Id="rId2" Type="http://schemas.openxmlformats.org/officeDocument/2006/relationships/externalLinkPath" Target="https://globalkomatsu-my.sharepoint.com/personal/cristopher_bravo_global_komatsu/Documents/TUTOR%20DE%20CAPACITACI&#211;N/Control%20Acreditaciones/Vencimiento%20Licencia.xlsx" TargetMode="External"/><Relationship Id="rId1" Type="http://schemas.openxmlformats.org/officeDocument/2006/relationships/externalLinkPath" Target="/personal/cristopher_bravo_global_komatsu/Documents/TUTOR%20DE%20CAPACITACI&#211;N/Control%20Acreditaciones/Vencimiento%20Licencia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TUTOR%20DE%20CAPACITACI&#211;N/TUTOR%20DE%20CAPACITACI&#211;N/Herramientas%20Control/MAESTRO%20PRINCIPAL-LAPTOP-MLKD2O9E.xlsx" TargetMode="External"/><Relationship Id="rId2" Type="http://schemas.openxmlformats.org/officeDocument/2006/relationships/externalLinkPath" Target="https://globalkomatsu-my.sharepoint.com/personal/cristopher_bravo_global_komatsu/Documents/TUTOR%20DE%20CAPACITACI&#211;N/TUTOR%20DE%20CAPACITACI&#211;N/Herramientas%20Control/MAESTRO%20PRINCIPAL-LAPTOP-MLKD2O9E.xlsx" TargetMode="External"/><Relationship Id="rId1" Type="http://schemas.openxmlformats.org/officeDocument/2006/relationships/externalLinkPath" Target="/personal/cristopher_bravo_global_komatsu/Documents/TUTOR%20DE%20CAPACITACI&#211;N/TUTOR%20DE%20CAPACITACI&#211;N/Herramientas%20Control/MAESTRO%20PRINCIPAL-LAPTOP-MLKD2O9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e Flexible de Personas - "/>
      <sheetName val="No exclusivo "/>
    </sheetNames>
    <sheetDataSet>
      <sheetData sheetId="0">
        <row r="1">
          <cell r="B1" t="str">
            <v>RUT</v>
          </cell>
          <cell r="E1" t="str">
            <v>CEDULA</v>
          </cell>
          <cell r="G1" t="str">
            <v>EXAMEN</v>
          </cell>
          <cell r="I1" t="str">
            <v>IHN</v>
          </cell>
        </row>
        <row r="2">
          <cell r="B2" t="str">
            <v>16565997-K</v>
          </cell>
          <cell r="E2">
            <v>46496</v>
          </cell>
          <cell r="G2">
            <v>47236</v>
          </cell>
          <cell r="I2">
            <v>47279</v>
          </cell>
        </row>
        <row r="3">
          <cell r="B3" t="str">
            <v>21402715-1</v>
          </cell>
          <cell r="E3">
            <v>48853</v>
          </cell>
          <cell r="G3">
            <v>47194</v>
          </cell>
          <cell r="I3">
            <v>46279</v>
          </cell>
        </row>
        <row r="4">
          <cell r="B4" t="str">
            <v>15947812-2</v>
          </cell>
          <cell r="E4">
            <v>49236</v>
          </cell>
          <cell r="G4">
            <v>46821</v>
          </cell>
          <cell r="I4">
            <v>46841</v>
          </cell>
        </row>
        <row r="5">
          <cell r="B5" t="str">
            <v>17861249-2</v>
          </cell>
          <cell r="E5">
            <v>48143</v>
          </cell>
          <cell r="G5">
            <v>47210</v>
          </cell>
          <cell r="I5">
            <v>46511</v>
          </cell>
        </row>
        <row r="6">
          <cell r="B6" t="str">
            <v>19351934-2</v>
          </cell>
          <cell r="E6">
            <v>47542</v>
          </cell>
          <cell r="G6">
            <v>46725</v>
          </cell>
          <cell r="I6">
            <v>47185</v>
          </cell>
        </row>
        <row r="7">
          <cell r="B7" t="str">
            <v>16868973-K</v>
          </cell>
          <cell r="E7">
            <v>46899</v>
          </cell>
          <cell r="G7">
            <v>47250</v>
          </cell>
          <cell r="I7">
            <v>46276</v>
          </cell>
        </row>
        <row r="8">
          <cell r="B8" t="str">
            <v>19144913-4</v>
          </cell>
          <cell r="E8">
            <v>49416</v>
          </cell>
          <cell r="G8">
            <v>47132</v>
          </cell>
          <cell r="I8">
            <v>47455</v>
          </cell>
        </row>
        <row r="9">
          <cell r="B9" t="str">
            <v>21981317-1</v>
          </cell>
          <cell r="E9">
            <v>47439</v>
          </cell>
          <cell r="G9">
            <v>46781</v>
          </cell>
          <cell r="I9">
            <v>47043</v>
          </cell>
        </row>
        <row r="10">
          <cell r="B10" t="str">
            <v>19104562-9</v>
          </cell>
          <cell r="E10">
            <v>49763</v>
          </cell>
          <cell r="G10">
            <v>47006</v>
          </cell>
          <cell r="I10">
            <v>47449</v>
          </cell>
        </row>
        <row r="11">
          <cell r="B11" t="str">
            <v>19826194-7</v>
          </cell>
          <cell r="E11">
            <v>47009</v>
          </cell>
          <cell r="G11">
            <v>46515</v>
          </cell>
          <cell r="I11">
            <v>47482</v>
          </cell>
        </row>
        <row r="12">
          <cell r="B12" t="str">
            <v>16280945-8</v>
          </cell>
          <cell r="E12">
            <v>46214</v>
          </cell>
          <cell r="G12">
            <v>47196</v>
          </cell>
          <cell r="I12">
            <v>47008</v>
          </cell>
        </row>
        <row r="13">
          <cell r="B13" t="str">
            <v>17655977-2</v>
          </cell>
          <cell r="E13">
            <v>47933</v>
          </cell>
          <cell r="G13">
            <v>47187</v>
          </cell>
          <cell r="I13">
            <v>47085</v>
          </cell>
        </row>
        <row r="14">
          <cell r="B14" t="str">
            <v>16239458-4</v>
          </cell>
          <cell r="E14">
            <v>49820</v>
          </cell>
          <cell r="G14">
            <v>46906</v>
          </cell>
          <cell r="I14">
            <v>47113</v>
          </cell>
        </row>
        <row r="15">
          <cell r="B15" t="str">
            <v>14108909-9</v>
          </cell>
          <cell r="E15">
            <v>47927</v>
          </cell>
          <cell r="G15">
            <v>46764</v>
          </cell>
          <cell r="I15">
            <v>47236</v>
          </cell>
        </row>
        <row r="16">
          <cell r="B16" t="str">
            <v>19352615-2</v>
          </cell>
          <cell r="E16">
            <v>49748</v>
          </cell>
          <cell r="G16">
            <v>46878</v>
          </cell>
          <cell r="I16">
            <v>47004</v>
          </cell>
        </row>
        <row r="17">
          <cell r="B17" t="str">
            <v>14104128-2</v>
          </cell>
          <cell r="E17">
            <v>48042</v>
          </cell>
          <cell r="G17">
            <v>46835</v>
          </cell>
          <cell r="I17">
            <v>47007</v>
          </cell>
        </row>
        <row r="18">
          <cell r="B18" t="str">
            <v>10050588-6</v>
          </cell>
          <cell r="E18">
            <v>49050</v>
          </cell>
          <cell r="G18">
            <v>46451</v>
          </cell>
          <cell r="I18">
            <v>46631</v>
          </cell>
        </row>
        <row r="19">
          <cell r="B19" t="str">
            <v>18520943-1</v>
          </cell>
          <cell r="E19">
            <v>48873</v>
          </cell>
          <cell r="G19">
            <v>47604</v>
          </cell>
          <cell r="I19">
            <v>47489</v>
          </cell>
        </row>
        <row r="20">
          <cell r="B20" t="str">
            <v>12947052-6</v>
          </cell>
          <cell r="E20">
            <v>49819</v>
          </cell>
          <cell r="G20">
            <v>46453</v>
          </cell>
          <cell r="I20">
            <v>47119</v>
          </cell>
        </row>
        <row r="21">
          <cell r="B21" t="str">
            <v>19867488-5</v>
          </cell>
          <cell r="E21">
            <v>47159</v>
          </cell>
          <cell r="G21">
            <v>47201</v>
          </cell>
          <cell r="I21">
            <v>47270</v>
          </cell>
        </row>
        <row r="22">
          <cell r="B22" t="str">
            <v>14393784-4</v>
          </cell>
          <cell r="E22">
            <v>46946</v>
          </cell>
          <cell r="G22">
            <v>46844</v>
          </cell>
          <cell r="I22">
            <v>47006</v>
          </cell>
        </row>
        <row r="23">
          <cell r="B23" t="str">
            <v>14581463-4</v>
          </cell>
          <cell r="E23">
            <v>48073</v>
          </cell>
          <cell r="G23">
            <v>46838</v>
          </cell>
          <cell r="I23">
            <v>47256</v>
          </cell>
        </row>
        <row r="24">
          <cell r="B24" t="str">
            <v>18868638-9</v>
          </cell>
          <cell r="E24">
            <v>49039</v>
          </cell>
          <cell r="G24">
            <v>46807</v>
          </cell>
          <cell r="I24">
            <v>47565</v>
          </cell>
        </row>
        <row r="25">
          <cell r="B25" t="str">
            <v>19253066-0</v>
          </cell>
          <cell r="E25">
            <v>46196</v>
          </cell>
          <cell r="G25">
            <v>46964</v>
          </cell>
          <cell r="I25">
            <v>47483</v>
          </cell>
        </row>
        <row r="26">
          <cell r="B26" t="str">
            <v>15733220-1</v>
          </cell>
          <cell r="E26">
            <v>48781</v>
          </cell>
          <cell r="G26">
            <v>46843</v>
          </cell>
          <cell r="I26">
            <v>47267</v>
          </cell>
        </row>
        <row r="27">
          <cell r="B27" t="str">
            <v>18496680-8</v>
          </cell>
          <cell r="E27">
            <v>46508</v>
          </cell>
          <cell r="G27">
            <v>47123</v>
          </cell>
          <cell r="I27">
            <v>46732</v>
          </cell>
        </row>
        <row r="28">
          <cell r="B28" t="str">
            <v>15705129-6</v>
          </cell>
          <cell r="E28">
            <v>48963</v>
          </cell>
          <cell r="G28">
            <v>46809</v>
          </cell>
          <cell r="I28">
            <v>47322</v>
          </cell>
        </row>
        <row r="29">
          <cell r="B29" t="str">
            <v>19824676-K</v>
          </cell>
          <cell r="E29">
            <v>46682</v>
          </cell>
          <cell r="G29">
            <v>47188</v>
          </cell>
          <cell r="I29">
            <v>46559</v>
          </cell>
        </row>
        <row r="30">
          <cell r="B30" t="str">
            <v>15015934-2</v>
          </cell>
          <cell r="E30">
            <v>48641</v>
          </cell>
          <cell r="G30">
            <v>46170</v>
          </cell>
          <cell r="I30">
            <v>47202</v>
          </cell>
        </row>
        <row r="31">
          <cell r="B31" t="str">
            <v>14419175-7</v>
          </cell>
          <cell r="E31">
            <v>47535</v>
          </cell>
          <cell r="G31">
            <v>46842</v>
          </cell>
          <cell r="I31">
            <v>46507</v>
          </cell>
        </row>
        <row r="32">
          <cell r="B32" t="str">
            <v>14109358-4</v>
          </cell>
          <cell r="E32">
            <v>48121</v>
          </cell>
          <cell r="G32">
            <v>46743</v>
          </cell>
          <cell r="I32">
            <v>47139</v>
          </cell>
        </row>
        <row r="33">
          <cell r="B33" t="str">
            <v>17284691-2</v>
          </cell>
          <cell r="E33">
            <v>47568</v>
          </cell>
          <cell r="G33">
            <v>46844</v>
          </cell>
          <cell r="I33">
            <v>47558</v>
          </cell>
        </row>
        <row r="34">
          <cell r="B34" t="str">
            <v>13417664-4</v>
          </cell>
          <cell r="E34">
            <v>46937</v>
          </cell>
          <cell r="G34">
            <v>46836</v>
          </cell>
          <cell r="I34">
            <v>46961</v>
          </cell>
        </row>
        <row r="35">
          <cell r="B35" t="str">
            <v>14572120-2</v>
          </cell>
          <cell r="E35">
            <v>47952</v>
          </cell>
          <cell r="G35">
            <v>46690</v>
          </cell>
          <cell r="I35">
            <v>46389</v>
          </cell>
        </row>
        <row r="36">
          <cell r="B36" t="str">
            <v>24485737-K</v>
          </cell>
          <cell r="E36">
            <v>47712</v>
          </cell>
          <cell r="G36">
            <v>47210</v>
          </cell>
          <cell r="I36">
            <v>47390</v>
          </cell>
        </row>
        <row r="37">
          <cell r="B37" t="str">
            <v>19206106-7</v>
          </cell>
          <cell r="E37">
            <v>49819</v>
          </cell>
          <cell r="G37">
            <v>46879</v>
          </cell>
          <cell r="I37">
            <v>46891</v>
          </cell>
        </row>
        <row r="38">
          <cell r="B38" t="str">
            <v>20005736-8</v>
          </cell>
          <cell r="E38">
            <v>47130</v>
          </cell>
          <cell r="G38">
            <v>47215</v>
          </cell>
          <cell r="I38">
            <v>47265</v>
          </cell>
        </row>
        <row r="39">
          <cell r="B39" t="str">
            <v>18860844-2</v>
          </cell>
          <cell r="E39">
            <v>49020</v>
          </cell>
          <cell r="G39">
            <v>47202</v>
          </cell>
          <cell r="I39">
            <v>47282</v>
          </cell>
        </row>
        <row r="40">
          <cell r="B40" t="str">
            <v>24352583-7</v>
          </cell>
          <cell r="E40">
            <v>46786</v>
          </cell>
          <cell r="G40">
            <v>47187</v>
          </cell>
          <cell r="I40">
            <v>46188</v>
          </cell>
        </row>
        <row r="41">
          <cell r="B41" t="str">
            <v>20126861-3</v>
          </cell>
          <cell r="E41">
            <v>47167</v>
          </cell>
          <cell r="G41">
            <v>47195</v>
          </cell>
          <cell r="I41">
            <v>46809</v>
          </cell>
        </row>
        <row r="42">
          <cell r="B42" t="str">
            <v>19205840-6</v>
          </cell>
          <cell r="E42">
            <v>49766</v>
          </cell>
          <cell r="G42">
            <v>47159</v>
          </cell>
          <cell r="I42">
            <v>47375</v>
          </cell>
        </row>
        <row r="43">
          <cell r="B43" t="str">
            <v>18506867-6</v>
          </cell>
          <cell r="E43">
            <v>48803</v>
          </cell>
          <cell r="G43">
            <v>47229</v>
          </cell>
          <cell r="I43">
            <v>47289</v>
          </cell>
        </row>
        <row r="44">
          <cell r="B44" t="str">
            <v>20093193-9</v>
          </cell>
          <cell r="E44">
            <v>47063</v>
          </cell>
          <cell r="G44">
            <v>46922</v>
          </cell>
          <cell r="I44">
            <v>47449</v>
          </cell>
        </row>
        <row r="45">
          <cell r="B45" t="str">
            <v>19252759-7</v>
          </cell>
          <cell r="E45">
            <v>49806</v>
          </cell>
          <cell r="G45">
            <v>46278</v>
          </cell>
          <cell r="I45">
            <v>47183</v>
          </cell>
        </row>
        <row r="46">
          <cell r="B46" t="str">
            <v>20216321-1</v>
          </cell>
          <cell r="E46">
            <v>47410</v>
          </cell>
          <cell r="G46">
            <v>47231</v>
          </cell>
          <cell r="I46">
            <v>47262</v>
          </cell>
        </row>
        <row r="47">
          <cell r="B47" t="str">
            <v>20734361-7</v>
          </cell>
          <cell r="E47">
            <v>47978</v>
          </cell>
          <cell r="G47">
            <v>47210</v>
          </cell>
          <cell r="I47">
            <v>47230</v>
          </cell>
        </row>
        <row r="48">
          <cell r="B48" t="str">
            <v>18632663-6</v>
          </cell>
          <cell r="E48">
            <v>46398</v>
          </cell>
          <cell r="G48">
            <v>47238</v>
          </cell>
          <cell r="I48">
            <v>47279</v>
          </cell>
        </row>
        <row r="49">
          <cell r="B49" t="str">
            <v>20215132-9</v>
          </cell>
          <cell r="E49">
            <v>47280</v>
          </cell>
          <cell r="G49">
            <v>47188</v>
          </cell>
          <cell r="I49">
            <v>47568</v>
          </cell>
        </row>
        <row r="50">
          <cell r="B50" t="str">
            <v>24675490-K</v>
          </cell>
          <cell r="E50">
            <v>46447</v>
          </cell>
          <cell r="G50">
            <v>46851</v>
          </cell>
          <cell r="I50">
            <v>46908</v>
          </cell>
        </row>
        <row r="51">
          <cell r="B51" t="str">
            <v>13529736-4</v>
          </cell>
          <cell r="E51">
            <v>47413</v>
          </cell>
          <cell r="G51">
            <v>46646</v>
          </cell>
          <cell r="I51">
            <v>47466</v>
          </cell>
        </row>
        <row r="52">
          <cell r="B52" t="str">
            <v>20274345-5</v>
          </cell>
          <cell r="E52">
            <v>47292</v>
          </cell>
          <cell r="G52">
            <v>46938</v>
          </cell>
          <cell r="I52">
            <v>47437</v>
          </cell>
        </row>
        <row r="53">
          <cell r="B53" t="str">
            <v>20735332-9</v>
          </cell>
          <cell r="E53">
            <v>47219</v>
          </cell>
          <cell r="G53">
            <v>47230</v>
          </cell>
          <cell r="I53">
            <v>47382</v>
          </cell>
        </row>
        <row r="54">
          <cell r="B54" t="str">
            <v>11506357-K</v>
          </cell>
          <cell r="E54">
            <v>47784</v>
          </cell>
          <cell r="G54">
            <v>46506</v>
          </cell>
          <cell r="I54">
            <v>46544</v>
          </cell>
        </row>
        <row r="55">
          <cell r="B55" t="str">
            <v>18125039-9</v>
          </cell>
          <cell r="E55">
            <v>48432</v>
          </cell>
          <cell r="G55">
            <v>47137</v>
          </cell>
          <cell r="I55">
            <v>47066</v>
          </cell>
        </row>
        <row r="56">
          <cell r="B56" t="str">
            <v>19206151-2</v>
          </cell>
          <cell r="E56">
            <v>46175</v>
          </cell>
          <cell r="G56">
            <v>46323</v>
          </cell>
          <cell r="I56">
            <v>46698</v>
          </cell>
        </row>
        <row r="57">
          <cell r="B57" t="str">
            <v>16453544-4</v>
          </cell>
          <cell r="E57">
            <v>49796</v>
          </cell>
          <cell r="G57">
            <v>46403</v>
          </cell>
          <cell r="I57">
            <v>47519</v>
          </cell>
        </row>
        <row r="58">
          <cell r="B58" t="str">
            <v>19268269-K</v>
          </cell>
          <cell r="E58">
            <v>49817</v>
          </cell>
          <cell r="G58">
            <v>46410</v>
          </cell>
          <cell r="I58">
            <v>46315</v>
          </cell>
        </row>
        <row r="59">
          <cell r="B59" t="str">
            <v>14560342-0</v>
          </cell>
          <cell r="E59">
            <v>47944</v>
          </cell>
          <cell r="G59">
            <v>46585</v>
          </cell>
          <cell r="I59">
            <v>46983</v>
          </cell>
        </row>
        <row r="60">
          <cell r="B60" t="str">
            <v>17392038-5</v>
          </cell>
          <cell r="E60">
            <v>47339</v>
          </cell>
          <cell r="G60">
            <v>46592</v>
          </cell>
          <cell r="I60">
            <v>47077</v>
          </cell>
        </row>
        <row r="61">
          <cell r="B61" t="str">
            <v>23455270-8</v>
          </cell>
          <cell r="E61">
            <v>47000</v>
          </cell>
          <cell r="G61">
            <v>46520</v>
          </cell>
          <cell r="I61">
            <v>46917</v>
          </cell>
        </row>
        <row r="62">
          <cell r="B62" t="str">
            <v>18125400-9</v>
          </cell>
          <cell r="E62">
            <v>48370</v>
          </cell>
          <cell r="G62">
            <v>46627</v>
          </cell>
          <cell r="I62">
            <v>46292</v>
          </cell>
        </row>
        <row r="63">
          <cell r="B63" t="str">
            <v>21403466-2</v>
          </cell>
          <cell r="E63">
            <v>48846</v>
          </cell>
          <cell r="G63">
            <v>46760</v>
          </cell>
          <cell r="I63">
            <v>46633</v>
          </cell>
        </row>
        <row r="64">
          <cell r="B64" t="str">
            <v>15982079-3</v>
          </cell>
          <cell r="E64">
            <v>49257</v>
          </cell>
          <cell r="G64">
            <v>46292</v>
          </cell>
          <cell r="I64">
            <v>47235</v>
          </cell>
        </row>
        <row r="65">
          <cell r="B65" t="str">
            <v>19871539-5</v>
          </cell>
          <cell r="E65">
            <v>47172</v>
          </cell>
          <cell r="G65">
            <v>47007</v>
          </cell>
          <cell r="I65">
            <v>47425</v>
          </cell>
        </row>
        <row r="66">
          <cell r="B66" t="str">
            <v>17277568-3</v>
          </cell>
          <cell r="E66">
            <v>47548</v>
          </cell>
          <cell r="G66">
            <v>46994</v>
          </cell>
          <cell r="I66">
            <v>47388</v>
          </cell>
        </row>
        <row r="67">
          <cell r="B67" t="str">
            <v>18521184-3</v>
          </cell>
          <cell r="E67">
            <v>48916</v>
          </cell>
          <cell r="G67">
            <v>46550</v>
          </cell>
          <cell r="I67">
            <v>46309</v>
          </cell>
        </row>
        <row r="68">
          <cell r="B68" t="str">
            <v>19969028-0</v>
          </cell>
          <cell r="E68">
            <v>47136</v>
          </cell>
          <cell r="G68">
            <v>46447</v>
          </cell>
          <cell r="I68">
            <v>46485</v>
          </cell>
        </row>
        <row r="69">
          <cell r="B69" t="str">
            <v>14601156-K</v>
          </cell>
          <cell r="E69">
            <v>47876</v>
          </cell>
          <cell r="G69">
            <v>46716</v>
          </cell>
          <cell r="I69">
            <v>46398</v>
          </cell>
        </row>
        <row r="70">
          <cell r="B70" t="str">
            <v>19467265-9</v>
          </cell>
          <cell r="E70">
            <v>46793</v>
          </cell>
          <cell r="G70">
            <v>46958</v>
          </cell>
          <cell r="I70">
            <v>47370</v>
          </cell>
        </row>
        <row r="71">
          <cell r="B71" t="str">
            <v>12419356-7</v>
          </cell>
          <cell r="E71">
            <v>46390</v>
          </cell>
          <cell r="G71">
            <v>46243</v>
          </cell>
          <cell r="I71">
            <v>46684</v>
          </cell>
        </row>
        <row r="72">
          <cell r="B72" t="str">
            <v>14568854-K</v>
          </cell>
          <cell r="E72">
            <v>47649</v>
          </cell>
          <cell r="G72">
            <v>46643</v>
          </cell>
          <cell r="I72">
            <v>47386</v>
          </cell>
        </row>
        <row r="73">
          <cell r="B73" t="str">
            <v>20352474-9</v>
          </cell>
          <cell r="E73">
            <v>47766</v>
          </cell>
          <cell r="G73">
            <v>46557</v>
          </cell>
          <cell r="I73">
            <v>47123</v>
          </cell>
        </row>
        <row r="74">
          <cell r="B74" t="str">
            <v>17445250-4</v>
          </cell>
          <cell r="E74">
            <v>47668</v>
          </cell>
          <cell r="G74">
            <v>46875</v>
          </cell>
          <cell r="I74">
            <v>47004</v>
          </cell>
        </row>
        <row r="75">
          <cell r="B75" t="str">
            <v>16258823-0</v>
          </cell>
          <cell r="E75">
            <v>49616</v>
          </cell>
          <cell r="G75">
            <v>46845</v>
          </cell>
          <cell r="I75">
            <v>47558</v>
          </cell>
        </row>
        <row r="76">
          <cell r="B76" t="str">
            <v>16602123-5</v>
          </cell>
          <cell r="E76">
            <v>46886</v>
          </cell>
          <cell r="G76">
            <v>46280</v>
          </cell>
          <cell r="I76">
            <v>47152</v>
          </cell>
        </row>
        <row r="77">
          <cell r="B77" t="str">
            <v>19867631-4</v>
          </cell>
          <cell r="E77">
            <v>47222</v>
          </cell>
          <cell r="G77">
            <v>46355</v>
          </cell>
          <cell r="I77">
            <v>47390</v>
          </cell>
        </row>
        <row r="78">
          <cell r="B78" t="str">
            <v>15575177-0</v>
          </cell>
          <cell r="E78">
            <v>48661</v>
          </cell>
          <cell r="G78">
            <v>46454</v>
          </cell>
          <cell r="I78">
            <v>47373</v>
          </cell>
        </row>
        <row r="79">
          <cell r="B79" t="str">
            <v>16549827-5</v>
          </cell>
          <cell r="E79">
            <v>46686</v>
          </cell>
          <cell r="G79">
            <v>46474</v>
          </cell>
          <cell r="I79">
            <v>47064</v>
          </cell>
        </row>
        <row r="80">
          <cell r="B80" t="str">
            <v>10487640-4</v>
          </cell>
          <cell r="E80">
            <v>46723</v>
          </cell>
          <cell r="G80">
            <v>46317</v>
          </cell>
          <cell r="I80">
            <v>46328</v>
          </cell>
        </row>
        <row r="81">
          <cell r="B81" t="str">
            <v>20751658-9</v>
          </cell>
          <cell r="E81">
            <v>48073</v>
          </cell>
          <cell r="G81">
            <v>46550</v>
          </cell>
          <cell r="I81">
            <v>46601</v>
          </cell>
        </row>
        <row r="82">
          <cell r="B82" t="str">
            <v>12834811-5</v>
          </cell>
          <cell r="E82">
            <v>49240</v>
          </cell>
          <cell r="G82">
            <v>46304</v>
          </cell>
          <cell r="I82">
            <v>47141</v>
          </cell>
        </row>
        <row r="83">
          <cell r="B83" t="str">
            <v>19538264-6</v>
          </cell>
          <cell r="E83">
            <v>46409</v>
          </cell>
          <cell r="G83">
            <v>46423</v>
          </cell>
          <cell r="I83">
            <v>46433</v>
          </cell>
        </row>
        <row r="84">
          <cell r="B84" t="str">
            <v>18757804-3</v>
          </cell>
          <cell r="E84">
            <v>49102</v>
          </cell>
          <cell r="G84">
            <v>46439</v>
          </cell>
          <cell r="I84">
            <v>47003</v>
          </cell>
        </row>
        <row r="85">
          <cell r="B85" t="str">
            <v>15013964-3</v>
          </cell>
          <cell r="E85">
            <v>48294</v>
          </cell>
          <cell r="G85">
            <v>46397</v>
          </cell>
          <cell r="I85">
            <v>47490</v>
          </cell>
        </row>
        <row r="86">
          <cell r="B86" t="str">
            <v>17725257-3</v>
          </cell>
          <cell r="E86">
            <v>48046</v>
          </cell>
          <cell r="G86">
            <v>46318</v>
          </cell>
          <cell r="I86">
            <v>46410</v>
          </cell>
        </row>
        <row r="87">
          <cell r="B87" t="str">
            <v>20274647-0</v>
          </cell>
          <cell r="E87">
            <v>47368</v>
          </cell>
          <cell r="G87">
            <v>46719</v>
          </cell>
          <cell r="I87">
            <v>47394</v>
          </cell>
        </row>
        <row r="88">
          <cell r="B88" t="str">
            <v>17656059-2</v>
          </cell>
          <cell r="E88">
            <v>47980</v>
          </cell>
          <cell r="G88">
            <v>46984</v>
          </cell>
          <cell r="I88">
            <v>47004</v>
          </cell>
        </row>
        <row r="89">
          <cell r="B89" t="str">
            <v>11932173-5</v>
          </cell>
          <cell r="E89">
            <v>48342</v>
          </cell>
          <cell r="G89">
            <v>46254</v>
          </cell>
          <cell r="I89">
            <v>46516</v>
          </cell>
        </row>
        <row r="90">
          <cell r="B90" t="str">
            <v>16566699-2</v>
          </cell>
          <cell r="E90">
            <v>46678</v>
          </cell>
          <cell r="G90">
            <v>46669</v>
          </cell>
          <cell r="I90">
            <v>46727</v>
          </cell>
        </row>
        <row r="91">
          <cell r="B91" t="str">
            <v>21467074-7</v>
          </cell>
          <cell r="E91">
            <v>46325</v>
          </cell>
          <cell r="G91">
            <v>46341</v>
          </cell>
          <cell r="I91">
            <v>46418</v>
          </cell>
        </row>
        <row r="92">
          <cell r="B92" t="str">
            <v>20260240-1</v>
          </cell>
          <cell r="E92">
            <v>47346</v>
          </cell>
          <cell r="G92">
            <v>46564</v>
          </cell>
          <cell r="I92">
            <v>46608</v>
          </cell>
        </row>
        <row r="93">
          <cell r="B93" t="str">
            <v>15769371-9</v>
          </cell>
          <cell r="E93">
            <v>49084</v>
          </cell>
          <cell r="G93">
            <v>46485</v>
          </cell>
          <cell r="I93">
            <v>47255</v>
          </cell>
        </row>
        <row r="94">
          <cell r="B94" t="str">
            <v>16352371-K</v>
          </cell>
          <cell r="E94">
            <v>47465</v>
          </cell>
          <cell r="G94">
            <v>46529</v>
          </cell>
          <cell r="I94">
            <v>47318</v>
          </cell>
        </row>
        <row r="95">
          <cell r="B95" t="str">
            <v>17165030-5</v>
          </cell>
          <cell r="E95">
            <v>47397</v>
          </cell>
          <cell r="G95">
            <v>46937</v>
          </cell>
          <cell r="I95">
            <v>47114</v>
          </cell>
        </row>
        <row r="96">
          <cell r="B96" t="str">
            <v>15000986-3</v>
          </cell>
          <cell r="E96">
            <v>48280</v>
          </cell>
          <cell r="G96">
            <v>46640</v>
          </cell>
          <cell r="I96">
            <v>47232</v>
          </cell>
        </row>
        <row r="97">
          <cell r="B97" t="str">
            <v>17246344-4</v>
          </cell>
          <cell r="E97">
            <v>47404</v>
          </cell>
          <cell r="G97">
            <v>47166</v>
          </cell>
          <cell r="I97">
            <v>47012</v>
          </cell>
        </row>
        <row r="98">
          <cell r="B98" t="str">
            <v>20098790-K</v>
          </cell>
          <cell r="E98">
            <v>47218</v>
          </cell>
          <cell r="G98">
            <v>46236</v>
          </cell>
          <cell r="I98">
            <v>47530</v>
          </cell>
        </row>
        <row r="99">
          <cell r="B99" t="str">
            <v>13535361-2</v>
          </cell>
          <cell r="E99">
            <v>47370</v>
          </cell>
          <cell r="G99">
            <v>46478</v>
          </cell>
          <cell r="I99">
            <v>47119</v>
          </cell>
        </row>
        <row r="100">
          <cell r="B100" t="str">
            <v>12442918-8</v>
          </cell>
          <cell r="E100">
            <v>48822</v>
          </cell>
          <cell r="G100">
            <v>46334</v>
          </cell>
          <cell r="I100">
            <v>46889</v>
          </cell>
        </row>
        <row r="101">
          <cell r="B101" t="str">
            <v>20921466-0</v>
          </cell>
          <cell r="E101">
            <v>48178</v>
          </cell>
          <cell r="G101">
            <v>46542</v>
          </cell>
          <cell r="I101">
            <v>46609</v>
          </cell>
        </row>
        <row r="102">
          <cell r="B102" t="str">
            <v>19463519-2</v>
          </cell>
          <cell r="E102">
            <v>46584</v>
          </cell>
          <cell r="G102">
            <v>46550</v>
          </cell>
          <cell r="I102">
            <v>46760</v>
          </cell>
        </row>
        <row r="103">
          <cell r="B103" t="str">
            <v>15979959-K</v>
          </cell>
          <cell r="E103">
            <v>49312</v>
          </cell>
          <cell r="G103">
            <v>46597</v>
          </cell>
          <cell r="I103">
            <v>46628</v>
          </cell>
        </row>
        <row r="104">
          <cell r="B104" t="str">
            <v>20381171-3</v>
          </cell>
          <cell r="E104">
            <v>46348</v>
          </cell>
          <cell r="G104">
            <v>46452</v>
          </cell>
          <cell r="I104">
            <v>46468</v>
          </cell>
        </row>
        <row r="105">
          <cell r="B105" t="str">
            <v>14509020-2</v>
          </cell>
          <cell r="E105">
            <v>46382</v>
          </cell>
          <cell r="G105">
            <v>46267</v>
          </cell>
          <cell r="I105">
            <v>46987</v>
          </cell>
        </row>
        <row r="106">
          <cell r="B106" t="str">
            <v>17715371-0</v>
          </cell>
          <cell r="E106">
            <v>47938</v>
          </cell>
          <cell r="G106">
            <v>46329</v>
          </cell>
          <cell r="I106">
            <v>47570</v>
          </cell>
        </row>
        <row r="107">
          <cell r="B107" t="str">
            <v>15970156-5</v>
          </cell>
          <cell r="E107">
            <v>49273</v>
          </cell>
          <cell r="G107">
            <v>46662</v>
          </cell>
          <cell r="I107">
            <v>47004</v>
          </cell>
        </row>
        <row r="108">
          <cell r="B108" t="str">
            <v>20399173-8</v>
          </cell>
          <cell r="E108">
            <v>47429</v>
          </cell>
          <cell r="G108">
            <v>46727</v>
          </cell>
          <cell r="I108">
            <v>46443</v>
          </cell>
        </row>
        <row r="109">
          <cell r="B109" t="str">
            <v>21025276-2</v>
          </cell>
          <cell r="E109">
            <v>48361</v>
          </cell>
          <cell r="G109">
            <v>46895</v>
          </cell>
          <cell r="I109">
            <v>46342</v>
          </cell>
        </row>
        <row r="110">
          <cell r="B110" t="str">
            <v>18184333-0</v>
          </cell>
          <cell r="E110">
            <v>48638</v>
          </cell>
          <cell r="G110">
            <v>46459</v>
          </cell>
          <cell r="I110">
            <v>46561</v>
          </cell>
        </row>
        <row r="111">
          <cell r="B111" t="str">
            <v>13217405-9</v>
          </cell>
          <cell r="E111">
            <v>46718</v>
          </cell>
          <cell r="G111">
            <v>46444</v>
          </cell>
          <cell r="I111">
            <v>47206</v>
          </cell>
        </row>
        <row r="112">
          <cell r="B112" t="str">
            <v>20526016-1</v>
          </cell>
          <cell r="E112">
            <v>47830</v>
          </cell>
          <cell r="G112">
            <v>46760</v>
          </cell>
          <cell r="I112">
            <v>46459</v>
          </cell>
        </row>
        <row r="113">
          <cell r="B113" t="str">
            <v>18125375-4</v>
          </cell>
          <cell r="E113">
            <v>48036</v>
          </cell>
          <cell r="G113">
            <v>46599</v>
          </cell>
          <cell r="I113">
            <v>47247</v>
          </cell>
        </row>
        <row r="114">
          <cell r="B114" t="str">
            <v>12571470-6</v>
          </cell>
          <cell r="E114">
            <v>48956</v>
          </cell>
          <cell r="G114">
            <v>46751</v>
          </cell>
          <cell r="I114">
            <v>47003</v>
          </cell>
        </row>
        <row r="115">
          <cell r="B115" t="str">
            <v>19692071-4</v>
          </cell>
          <cell r="E115">
            <v>46619</v>
          </cell>
          <cell r="G115">
            <v>46780</v>
          </cell>
          <cell r="I115">
            <v>47544</v>
          </cell>
        </row>
        <row r="116">
          <cell r="B116" t="str">
            <v>19968816-2</v>
          </cell>
          <cell r="E116">
            <v>47104</v>
          </cell>
          <cell r="G116">
            <v>46662</v>
          </cell>
          <cell r="I116">
            <v>47036</v>
          </cell>
        </row>
        <row r="117">
          <cell r="B117" t="str">
            <v>17974271-3</v>
          </cell>
          <cell r="E117">
            <v>48123</v>
          </cell>
          <cell r="G117">
            <v>46774</v>
          </cell>
          <cell r="I117">
            <v>47164</v>
          </cell>
        </row>
        <row r="118">
          <cell r="B118" t="str">
            <v>19939401-0</v>
          </cell>
          <cell r="E118">
            <v>46946</v>
          </cell>
          <cell r="G118">
            <v>46868</v>
          </cell>
          <cell r="I118">
            <v>46939</v>
          </cell>
        </row>
        <row r="119">
          <cell r="B119" t="str">
            <v>17655738-9</v>
          </cell>
          <cell r="E119">
            <v>47800</v>
          </cell>
          <cell r="G119">
            <v>46920</v>
          </cell>
          <cell r="I119">
            <v>47102</v>
          </cell>
        </row>
        <row r="120">
          <cell r="B120" t="str">
            <v>17829620-5</v>
          </cell>
          <cell r="E120">
            <v>47889</v>
          </cell>
          <cell r="G120">
            <v>46949</v>
          </cell>
          <cell r="I120">
            <v>47450</v>
          </cell>
        </row>
        <row r="121">
          <cell r="B121" t="str">
            <v>21185228-3</v>
          </cell>
          <cell r="E121">
            <v>48548</v>
          </cell>
          <cell r="G121">
            <v>46761</v>
          </cell>
          <cell r="I121">
            <v>46370</v>
          </cell>
        </row>
        <row r="122">
          <cell r="B122" t="str">
            <v>17655883-0</v>
          </cell>
          <cell r="E122">
            <v>47923</v>
          </cell>
          <cell r="G122">
            <v>46774</v>
          </cell>
          <cell r="I122">
            <v>47162</v>
          </cell>
        </row>
        <row r="123">
          <cell r="B123" t="str">
            <v>19864093-K</v>
          </cell>
          <cell r="E123">
            <v>46833</v>
          </cell>
          <cell r="G123">
            <v>46543</v>
          </cell>
          <cell r="I123">
            <v>46583</v>
          </cell>
        </row>
        <row r="124">
          <cell r="B124" t="str">
            <v>15067608-8</v>
          </cell>
          <cell r="E124">
            <v>48225</v>
          </cell>
          <cell r="G124">
            <v>46446</v>
          </cell>
          <cell r="I124">
            <v>47093</v>
          </cell>
        </row>
        <row r="125">
          <cell r="B125" t="str">
            <v>16593690-6</v>
          </cell>
          <cell r="E125">
            <v>46563</v>
          </cell>
          <cell r="G125">
            <v>46655</v>
          </cell>
          <cell r="I125">
            <v>46990</v>
          </cell>
        </row>
        <row r="126">
          <cell r="B126" t="str">
            <v>13632538-8</v>
          </cell>
          <cell r="E126">
            <v>47129</v>
          </cell>
          <cell r="G126">
            <v>46470</v>
          </cell>
          <cell r="I126">
            <v>47073</v>
          </cell>
        </row>
        <row r="127">
          <cell r="B127" t="str">
            <v>12427793-0</v>
          </cell>
          <cell r="E127">
            <v>48556</v>
          </cell>
          <cell r="G127">
            <v>46744</v>
          </cell>
          <cell r="I127">
            <v>47119</v>
          </cell>
        </row>
        <row r="128">
          <cell r="B128" t="str">
            <v>15924205-6</v>
          </cell>
          <cell r="E128">
            <v>49156</v>
          </cell>
          <cell r="G128">
            <v>46251</v>
          </cell>
          <cell r="I128">
            <v>47220</v>
          </cell>
        </row>
        <row r="129">
          <cell r="B129" t="str">
            <v>16869300-1</v>
          </cell>
          <cell r="E129">
            <v>46933</v>
          </cell>
          <cell r="G129">
            <v>46661</v>
          </cell>
          <cell r="I129">
            <v>47132</v>
          </cell>
        </row>
        <row r="130">
          <cell r="B130" t="str">
            <v>19252892-5</v>
          </cell>
          <cell r="E130">
            <v>46187</v>
          </cell>
          <cell r="G130">
            <v>46585</v>
          </cell>
          <cell r="I130">
            <v>47014</v>
          </cell>
        </row>
        <row r="131">
          <cell r="B131" t="str">
            <v>22097338-7</v>
          </cell>
          <cell r="E131">
            <v>46854</v>
          </cell>
          <cell r="G131">
            <v>47174</v>
          </cell>
          <cell r="I131">
            <v>47246</v>
          </cell>
        </row>
        <row r="132">
          <cell r="B132" t="str">
            <v>17553893-3</v>
          </cell>
          <cell r="E132">
            <v>48160</v>
          </cell>
          <cell r="G132">
            <v>46816</v>
          </cell>
          <cell r="I132">
            <v>47280</v>
          </cell>
        </row>
        <row r="133">
          <cell r="B133" t="str">
            <v>21149845-5</v>
          </cell>
          <cell r="E133">
            <v>48504</v>
          </cell>
          <cell r="G133">
            <v>47174</v>
          </cell>
          <cell r="I133">
            <v>47218</v>
          </cell>
        </row>
        <row r="134">
          <cell r="B134" t="str">
            <v>16801618-2</v>
          </cell>
          <cell r="E134">
            <v>46903</v>
          </cell>
          <cell r="G134">
            <v>46459</v>
          </cell>
          <cell r="I134">
            <v>47133</v>
          </cell>
        </row>
        <row r="135">
          <cell r="B135" t="str">
            <v>16623732-7</v>
          </cell>
          <cell r="E135">
            <v>46550</v>
          </cell>
          <cell r="G135">
            <v>46706</v>
          </cell>
          <cell r="I135">
            <v>47123</v>
          </cell>
        </row>
        <row r="136">
          <cell r="B136" t="str">
            <v>20735342-6</v>
          </cell>
          <cell r="E136">
            <v>47960</v>
          </cell>
          <cell r="G136">
            <v>46571</v>
          </cell>
          <cell r="I136">
            <v>46561</v>
          </cell>
        </row>
        <row r="137">
          <cell r="B137" t="str">
            <v>19538030-9</v>
          </cell>
          <cell r="E137">
            <v>46361</v>
          </cell>
          <cell r="G137">
            <v>46759</v>
          </cell>
          <cell r="I137">
            <v>47131</v>
          </cell>
        </row>
        <row r="138">
          <cell r="B138" t="str">
            <v>20441738-5</v>
          </cell>
          <cell r="E138">
            <v>47655</v>
          </cell>
          <cell r="G138">
            <v>46966</v>
          </cell>
          <cell r="I138">
            <v>46633</v>
          </cell>
        </row>
        <row r="139">
          <cell r="B139" t="str">
            <v>17172507-0</v>
          </cell>
          <cell r="E139">
            <v>47317</v>
          </cell>
          <cell r="G139">
            <v>46994</v>
          </cell>
          <cell r="I139">
            <v>47233</v>
          </cell>
        </row>
        <row r="140">
          <cell r="B140" t="str">
            <v>17093275-7</v>
          </cell>
          <cell r="E140">
            <v>47124</v>
          </cell>
          <cell r="G140">
            <v>46711</v>
          </cell>
          <cell r="I140">
            <v>47148</v>
          </cell>
        </row>
        <row r="141">
          <cell r="B141" t="str">
            <v>15947993-5</v>
          </cell>
          <cell r="E141">
            <v>46332</v>
          </cell>
          <cell r="G141">
            <v>46492</v>
          </cell>
          <cell r="I141">
            <v>47284</v>
          </cell>
        </row>
        <row r="142">
          <cell r="B142" t="str">
            <v>12607702-5</v>
          </cell>
          <cell r="E142">
            <v>46709</v>
          </cell>
          <cell r="G142">
            <v>46267</v>
          </cell>
          <cell r="I142">
            <v>46730</v>
          </cell>
        </row>
        <row r="143">
          <cell r="B143" t="str">
            <v>17536144-8</v>
          </cell>
          <cell r="E143">
            <v>46411</v>
          </cell>
          <cell r="G143">
            <v>46752</v>
          </cell>
          <cell r="I143">
            <v>47110</v>
          </cell>
        </row>
        <row r="144">
          <cell r="B144" t="str">
            <v>12832205-1</v>
          </cell>
          <cell r="E144">
            <v>49248</v>
          </cell>
          <cell r="G144">
            <v>46430</v>
          </cell>
          <cell r="I144">
            <v>47124</v>
          </cell>
        </row>
        <row r="145">
          <cell r="B145" t="str">
            <v>17828739-7</v>
          </cell>
          <cell r="E145">
            <v>47804</v>
          </cell>
          <cell r="G145">
            <v>47062</v>
          </cell>
          <cell r="I145">
            <v>46726</v>
          </cell>
        </row>
        <row r="146">
          <cell r="B146" t="str">
            <v>13532619-4</v>
          </cell>
          <cell r="E146">
            <v>47465</v>
          </cell>
          <cell r="G146">
            <v>46716</v>
          </cell>
          <cell r="I146">
            <v>47004</v>
          </cell>
        </row>
        <row r="147">
          <cell r="B147" t="str">
            <v>15768626-7</v>
          </cell>
          <cell r="E147">
            <v>46350</v>
          </cell>
          <cell r="G147">
            <v>46886</v>
          </cell>
          <cell r="I147">
            <v>46209</v>
          </cell>
        </row>
        <row r="148">
          <cell r="B148" t="str">
            <v>19537771-5</v>
          </cell>
          <cell r="E148">
            <v>46306</v>
          </cell>
          <cell r="G148">
            <v>47005</v>
          </cell>
          <cell r="I148">
            <v>47306</v>
          </cell>
        </row>
        <row r="149">
          <cell r="B149" t="str">
            <v>17246105-0</v>
          </cell>
          <cell r="E149">
            <v>47312</v>
          </cell>
          <cell r="G149">
            <v>46774</v>
          </cell>
          <cell r="I149">
            <v>46842</v>
          </cell>
        </row>
        <row r="150">
          <cell r="B150" t="str">
            <v>17353160-5</v>
          </cell>
          <cell r="E150">
            <v>47344</v>
          </cell>
          <cell r="G150">
            <v>46389</v>
          </cell>
          <cell r="I150">
            <v>47019</v>
          </cell>
        </row>
        <row r="151">
          <cell r="B151" t="str">
            <v>15741021-0</v>
          </cell>
          <cell r="E151">
            <v>48924</v>
          </cell>
          <cell r="G151">
            <v>46723</v>
          </cell>
          <cell r="I151">
            <v>46313</v>
          </cell>
        </row>
        <row r="152">
          <cell r="B152" t="str">
            <v>15013873-6</v>
          </cell>
          <cell r="E152">
            <v>48289</v>
          </cell>
          <cell r="G152">
            <v>46439</v>
          </cell>
          <cell r="I152">
            <v>47576</v>
          </cell>
        </row>
        <row r="153">
          <cell r="B153" t="str">
            <v>15017495-3</v>
          </cell>
          <cell r="E153">
            <v>48445</v>
          </cell>
          <cell r="G153">
            <v>46680</v>
          </cell>
          <cell r="I153">
            <v>47135</v>
          </cell>
        </row>
        <row r="154">
          <cell r="B154" t="str">
            <v>13409532-6</v>
          </cell>
          <cell r="E154">
            <v>46926</v>
          </cell>
          <cell r="G154">
            <v>46709</v>
          </cell>
          <cell r="I154">
            <v>47207</v>
          </cell>
        </row>
        <row r="155">
          <cell r="B155" t="str">
            <v>13172565-5</v>
          </cell>
          <cell r="E155">
            <v>46662</v>
          </cell>
          <cell r="G155">
            <v>46340</v>
          </cell>
          <cell r="I155">
            <v>47516</v>
          </cell>
        </row>
        <row r="156">
          <cell r="B156" t="str">
            <v>13217599-3</v>
          </cell>
          <cell r="E156">
            <v>46456</v>
          </cell>
          <cell r="G156">
            <v>46305</v>
          </cell>
          <cell r="I156">
            <v>46312</v>
          </cell>
        </row>
        <row r="157">
          <cell r="B157" t="str">
            <v>16326194-4</v>
          </cell>
          <cell r="E157">
            <v>46351</v>
          </cell>
          <cell r="G157">
            <v>47055</v>
          </cell>
          <cell r="I157">
            <v>47419</v>
          </cell>
        </row>
        <row r="158">
          <cell r="B158" t="str">
            <v>16824319-7</v>
          </cell>
          <cell r="E158">
            <v>46699</v>
          </cell>
          <cell r="G158">
            <v>46977</v>
          </cell>
          <cell r="I158">
            <v>46664</v>
          </cell>
        </row>
        <row r="159">
          <cell r="B159" t="str">
            <v>17737054-1</v>
          </cell>
          <cell r="E159">
            <v>47456</v>
          </cell>
          <cell r="G159">
            <v>46720</v>
          </cell>
          <cell r="I159">
            <v>47417</v>
          </cell>
        </row>
        <row r="160">
          <cell r="B160" t="str">
            <v>13172480-2</v>
          </cell>
          <cell r="E160">
            <v>46643</v>
          </cell>
          <cell r="G160">
            <v>46661</v>
          </cell>
          <cell r="I160">
            <v>47053</v>
          </cell>
        </row>
        <row r="161">
          <cell r="B161" t="str">
            <v>19398640-4</v>
          </cell>
          <cell r="E161">
            <v>46330</v>
          </cell>
          <cell r="G161">
            <v>46761</v>
          </cell>
          <cell r="I161">
            <v>47537</v>
          </cell>
        </row>
        <row r="162">
          <cell r="B162" t="str">
            <v>17492399-K</v>
          </cell>
          <cell r="E162">
            <v>47556</v>
          </cell>
          <cell r="G162">
            <v>46272</v>
          </cell>
          <cell r="I162">
            <v>47125</v>
          </cell>
        </row>
        <row r="163">
          <cell r="B163" t="str">
            <v>10220933-8</v>
          </cell>
          <cell r="E163">
            <v>47816</v>
          </cell>
          <cell r="G163">
            <v>46436</v>
          </cell>
          <cell r="I163">
            <v>47191</v>
          </cell>
        </row>
        <row r="164">
          <cell r="B164" t="str">
            <v>13632774-7</v>
          </cell>
          <cell r="E164">
            <v>47547</v>
          </cell>
          <cell r="G164">
            <v>46309</v>
          </cell>
          <cell r="I164">
            <v>46593</v>
          </cell>
        </row>
        <row r="165">
          <cell r="B165" t="str">
            <v>19357254-5</v>
          </cell>
          <cell r="E165">
            <v>46416</v>
          </cell>
          <cell r="G165">
            <v>46718</v>
          </cell>
          <cell r="I165">
            <v>47282</v>
          </cell>
        </row>
        <row r="166">
          <cell r="B166" t="str">
            <v>20274683-7</v>
          </cell>
          <cell r="E166">
            <v>47377</v>
          </cell>
          <cell r="G166">
            <v>46457</v>
          </cell>
          <cell r="I166">
            <v>46512</v>
          </cell>
        </row>
        <row r="167">
          <cell r="B167" t="str">
            <v>19432300-K</v>
          </cell>
          <cell r="E167">
            <v>47639</v>
          </cell>
          <cell r="G167">
            <v>46578</v>
          </cell>
          <cell r="I167">
            <v>46596</v>
          </cell>
        </row>
        <row r="168">
          <cell r="B168" t="str">
            <v>17974015-K</v>
          </cell>
          <cell r="E168">
            <v>48076</v>
          </cell>
          <cell r="G168">
            <v>46718</v>
          </cell>
          <cell r="I168">
            <v>47292</v>
          </cell>
        </row>
        <row r="169">
          <cell r="B169" t="str">
            <v>21378162-6</v>
          </cell>
          <cell r="E169">
            <v>46625</v>
          </cell>
          <cell r="G169">
            <v>46653</v>
          </cell>
          <cell r="I169">
            <v>46697</v>
          </cell>
        </row>
        <row r="170">
          <cell r="B170" t="str">
            <v>20966538-7</v>
          </cell>
          <cell r="E170">
            <v>48254</v>
          </cell>
          <cell r="G170">
            <v>46328</v>
          </cell>
          <cell r="I170">
            <v>46365</v>
          </cell>
        </row>
        <row r="171">
          <cell r="B171" t="str">
            <v>13181955-2</v>
          </cell>
          <cell r="E171">
            <v>46545</v>
          </cell>
          <cell r="G171">
            <v>46801</v>
          </cell>
          <cell r="I171">
            <v>46989</v>
          </cell>
        </row>
        <row r="172">
          <cell r="B172" t="str">
            <v>17902362-8</v>
          </cell>
          <cell r="E172">
            <v>48099</v>
          </cell>
          <cell r="G172">
            <v>47097</v>
          </cell>
          <cell r="I172">
            <v>46734</v>
          </cell>
        </row>
        <row r="173">
          <cell r="B173" t="str">
            <v>19373808-7</v>
          </cell>
          <cell r="E173">
            <v>46540</v>
          </cell>
          <cell r="G173">
            <v>46558</v>
          </cell>
          <cell r="I173">
            <v>47307</v>
          </cell>
        </row>
        <row r="174">
          <cell r="B174" t="str">
            <v>19205023-5</v>
          </cell>
          <cell r="E174">
            <v>49592</v>
          </cell>
          <cell r="G174">
            <v>46425</v>
          </cell>
          <cell r="I174">
            <v>47085</v>
          </cell>
        </row>
        <row r="175">
          <cell r="B175" t="str">
            <v>16062651-8</v>
          </cell>
          <cell r="E175">
            <v>49542</v>
          </cell>
          <cell r="G175">
            <v>46930</v>
          </cell>
          <cell r="I175">
            <v>46994</v>
          </cell>
        </row>
        <row r="176">
          <cell r="B176" t="str">
            <v>13358502-8</v>
          </cell>
          <cell r="E176">
            <v>46905</v>
          </cell>
          <cell r="G176">
            <v>46317</v>
          </cell>
          <cell r="I176">
            <v>47077</v>
          </cell>
        </row>
        <row r="177">
          <cell r="B177" t="str">
            <v>18943848-6</v>
          </cell>
          <cell r="E177">
            <v>49285</v>
          </cell>
          <cell r="G177">
            <v>46333</v>
          </cell>
          <cell r="I177">
            <v>47510</v>
          </cell>
        </row>
        <row r="178">
          <cell r="B178" t="str">
            <v>16565053-0</v>
          </cell>
          <cell r="E178">
            <v>46359</v>
          </cell>
          <cell r="G178">
            <v>46590</v>
          </cell>
          <cell r="I178">
            <v>47071</v>
          </cell>
        </row>
        <row r="179">
          <cell r="B179" t="str">
            <v>13743525-K</v>
          </cell>
          <cell r="E179">
            <v>47687</v>
          </cell>
          <cell r="G179">
            <v>46466</v>
          </cell>
          <cell r="I179">
            <v>47004</v>
          </cell>
        </row>
        <row r="180">
          <cell r="B180" t="str">
            <v>17092818-0</v>
          </cell>
          <cell r="E180">
            <v>47048</v>
          </cell>
          <cell r="G180">
            <v>46492</v>
          </cell>
          <cell r="I180">
            <v>47204</v>
          </cell>
        </row>
        <row r="181">
          <cell r="B181" t="str">
            <v>19146897-K</v>
          </cell>
          <cell r="E181">
            <v>49411</v>
          </cell>
          <cell r="G181">
            <v>46929</v>
          </cell>
          <cell r="I181">
            <v>46242</v>
          </cell>
        </row>
        <row r="182">
          <cell r="B182" t="str">
            <v>19979332-2</v>
          </cell>
          <cell r="E182">
            <v>47125</v>
          </cell>
          <cell r="G182">
            <v>46418</v>
          </cell>
          <cell r="I182">
            <v>46445</v>
          </cell>
        </row>
        <row r="183">
          <cell r="B183" t="str">
            <v>17126398-0</v>
          </cell>
          <cell r="E183">
            <v>47316</v>
          </cell>
          <cell r="G183">
            <v>46817</v>
          </cell>
          <cell r="I183">
            <v>47001</v>
          </cell>
        </row>
        <row r="184">
          <cell r="B184" t="str">
            <v>20082334-6</v>
          </cell>
          <cell r="E184">
            <v>46832</v>
          </cell>
          <cell r="G184">
            <v>46369</v>
          </cell>
          <cell r="I184">
            <v>47501</v>
          </cell>
        </row>
        <row r="185">
          <cell r="B185" t="str">
            <v>19099699-9</v>
          </cell>
          <cell r="E185">
            <v>49692</v>
          </cell>
          <cell r="G185">
            <v>47056</v>
          </cell>
          <cell r="I185">
            <v>47377</v>
          </cell>
        </row>
        <row r="186">
          <cell r="B186" t="str">
            <v>10174644-5</v>
          </cell>
          <cell r="E186">
            <v>49114</v>
          </cell>
          <cell r="G186">
            <v>46268</v>
          </cell>
          <cell r="I186">
            <v>47079</v>
          </cell>
        </row>
        <row r="187">
          <cell r="B187" t="str">
            <v>18521278-5</v>
          </cell>
          <cell r="E187">
            <v>49001</v>
          </cell>
          <cell r="G187">
            <v>46760</v>
          </cell>
          <cell r="I187">
            <v>47174</v>
          </cell>
        </row>
        <row r="188">
          <cell r="B188" t="str">
            <v>25001170-9</v>
          </cell>
          <cell r="E188">
            <v>46336</v>
          </cell>
          <cell r="G188">
            <v>46243</v>
          </cell>
          <cell r="I188">
            <v>46397</v>
          </cell>
        </row>
        <row r="189">
          <cell r="B189" t="str">
            <v>19852159-0</v>
          </cell>
          <cell r="E189">
            <v>46864</v>
          </cell>
          <cell r="G189">
            <v>46412</v>
          </cell>
          <cell r="I189">
            <v>46434</v>
          </cell>
        </row>
        <row r="190">
          <cell r="B190" t="str">
            <v>18124985-4</v>
          </cell>
          <cell r="E190">
            <v>48391</v>
          </cell>
          <cell r="G190">
            <v>46514</v>
          </cell>
          <cell r="I190">
            <v>47448</v>
          </cell>
        </row>
        <row r="191">
          <cell r="B191" t="str">
            <v>19664545-4</v>
          </cell>
          <cell r="E191">
            <v>46953</v>
          </cell>
          <cell r="G191">
            <v>46542</v>
          </cell>
          <cell r="I191">
            <v>46575</v>
          </cell>
        </row>
        <row r="192">
          <cell r="B192" t="str">
            <v>16326687-3</v>
          </cell>
          <cell r="E192">
            <v>46335</v>
          </cell>
          <cell r="G192">
            <v>46818</v>
          </cell>
          <cell r="I192">
            <v>47301</v>
          </cell>
        </row>
        <row r="193">
          <cell r="B193" t="str">
            <v>20352297-5</v>
          </cell>
          <cell r="E193">
            <v>47595</v>
          </cell>
          <cell r="G193">
            <v>46411</v>
          </cell>
          <cell r="I193">
            <v>47200</v>
          </cell>
        </row>
        <row r="194">
          <cell r="B194" t="str">
            <v>16829133-7</v>
          </cell>
          <cell r="E194">
            <v>46971</v>
          </cell>
          <cell r="G194">
            <v>46931</v>
          </cell>
          <cell r="I194">
            <v>47208</v>
          </cell>
        </row>
        <row r="195">
          <cell r="B195" t="str">
            <v>20766075-2</v>
          </cell>
          <cell r="E195">
            <v>48025</v>
          </cell>
          <cell r="G195">
            <v>46457</v>
          </cell>
          <cell r="I195">
            <v>46497</v>
          </cell>
        </row>
        <row r="196">
          <cell r="B196" t="str">
            <v>18483911-3</v>
          </cell>
          <cell r="E196">
            <v>49031</v>
          </cell>
          <cell r="G196">
            <v>46662</v>
          </cell>
          <cell r="I196">
            <v>47029</v>
          </cell>
        </row>
        <row r="197">
          <cell r="B197" t="str">
            <v>18827199-5</v>
          </cell>
          <cell r="E197">
            <v>49412</v>
          </cell>
          <cell r="G197">
            <v>46823</v>
          </cell>
          <cell r="I197">
            <v>47216</v>
          </cell>
        </row>
        <row r="198">
          <cell r="B198" t="str">
            <v>19205067-7</v>
          </cell>
          <cell r="E198">
            <v>49603</v>
          </cell>
          <cell r="G198">
            <v>46903</v>
          </cell>
          <cell r="I198">
            <v>47077</v>
          </cell>
        </row>
        <row r="199">
          <cell r="B199" t="str">
            <v>19552493-9</v>
          </cell>
          <cell r="E199">
            <v>46764</v>
          </cell>
          <cell r="G199">
            <v>46654</v>
          </cell>
          <cell r="I199">
            <v>46663</v>
          </cell>
        </row>
        <row r="200">
          <cell r="B200" t="str">
            <v>18539817-K</v>
          </cell>
          <cell r="E200">
            <v>46579</v>
          </cell>
          <cell r="G200">
            <v>47161</v>
          </cell>
          <cell r="I200">
            <v>47292</v>
          </cell>
        </row>
        <row r="201">
          <cell r="B201" t="str">
            <v>19252860-7</v>
          </cell>
          <cell r="E201">
            <v>46185</v>
          </cell>
          <cell r="G201">
            <v>46706</v>
          </cell>
          <cell r="I201">
            <v>47124</v>
          </cell>
        </row>
        <row r="202">
          <cell r="B202" t="str">
            <v>15812632-K</v>
          </cell>
          <cell r="E202">
            <v>46461</v>
          </cell>
          <cell r="G202">
            <v>46240</v>
          </cell>
          <cell r="I202">
            <v>47299</v>
          </cell>
        </row>
        <row r="203">
          <cell r="B203" t="str">
            <v>18884949-0</v>
          </cell>
          <cell r="E203">
            <v>49470</v>
          </cell>
          <cell r="G203">
            <v>46552</v>
          </cell>
          <cell r="I203">
            <v>47376</v>
          </cell>
        </row>
        <row r="204">
          <cell r="B204" t="str">
            <v>11101351-9</v>
          </cell>
          <cell r="E204">
            <v>47224</v>
          </cell>
          <cell r="G204">
            <v>46411</v>
          </cell>
          <cell r="I204">
            <v>47071</v>
          </cell>
        </row>
        <row r="205">
          <cell r="B205" t="str">
            <v>17092538-6</v>
          </cell>
          <cell r="E205">
            <v>46994</v>
          </cell>
          <cell r="G205">
            <v>47000</v>
          </cell>
          <cell r="I205">
            <v>46974</v>
          </cell>
        </row>
        <row r="206">
          <cell r="B206" t="str">
            <v>18710278-2</v>
          </cell>
          <cell r="E206">
            <v>46847</v>
          </cell>
          <cell r="G206">
            <v>46500</v>
          </cell>
          <cell r="I206">
            <v>47307</v>
          </cell>
        </row>
        <row r="207">
          <cell r="B207" t="str">
            <v>17018417-3</v>
          </cell>
          <cell r="E207">
            <v>47035</v>
          </cell>
          <cell r="G207">
            <v>47053</v>
          </cell>
          <cell r="I207">
            <v>47172</v>
          </cell>
        </row>
        <row r="208">
          <cell r="B208" t="str">
            <v>10649920-9</v>
          </cell>
          <cell r="E208">
            <v>46761</v>
          </cell>
          <cell r="G208">
            <v>46240</v>
          </cell>
          <cell r="I208">
            <v>47054</v>
          </cell>
        </row>
        <row r="209">
          <cell r="B209" t="str">
            <v>10920581-8</v>
          </cell>
          <cell r="E209">
            <v>46274</v>
          </cell>
          <cell r="G209">
            <v>46570</v>
          </cell>
          <cell r="I209">
            <v>47301</v>
          </cell>
        </row>
        <row r="210">
          <cell r="B210" t="str">
            <v>18353265-0</v>
          </cell>
          <cell r="E210">
            <v>48663</v>
          </cell>
          <cell r="G210">
            <v>46963</v>
          </cell>
          <cell r="I210">
            <v>47073</v>
          </cell>
        </row>
        <row r="211">
          <cell r="B211" t="str">
            <v>19552202-2</v>
          </cell>
          <cell r="E211">
            <v>47728</v>
          </cell>
          <cell r="G211">
            <v>46538</v>
          </cell>
          <cell r="I211">
            <v>46355</v>
          </cell>
        </row>
        <row r="212">
          <cell r="B212" t="str">
            <v>20352648-2</v>
          </cell>
          <cell r="E212">
            <v>47909</v>
          </cell>
          <cell r="G212">
            <v>46724</v>
          </cell>
          <cell r="I212">
            <v>47191</v>
          </cell>
        </row>
        <row r="213">
          <cell r="B213" t="str">
            <v>17744634-3</v>
          </cell>
          <cell r="E213">
            <v>47754</v>
          </cell>
          <cell r="G213">
            <v>46600</v>
          </cell>
          <cell r="I213">
            <v>47570</v>
          </cell>
        </row>
        <row r="214">
          <cell r="B214" t="str">
            <v>17421844-7</v>
          </cell>
          <cell r="E214">
            <v>47704</v>
          </cell>
          <cell r="G214">
            <v>47182</v>
          </cell>
          <cell r="I214">
            <v>47229</v>
          </cell>
        </row>
        <row r="215">
          <cell r="B215" t="str">
            <v>9133711-8</v>
          </cell>
          <cell r="E215">
            <v>48604</v>
          </cell>
          <cell r="G215">
            <v>46263</v>
          </cell>
          <cell r="I215">
            <v>47302</v>
          </cell>
        </row>
        <row r="216">
          <cell r="B216" t="str">
            <v>17867062-K</v>
          </cell>
          <cell r="E216">
            <v>47863</v>
          </cell>
          <cell r="G216">
            <v>46328</v>
          </cell>
          <cell r="I216">
            <v>47363</v>
          </cell>
        </row>
        <row r="217">
          <cell r="B217" t="str">
            <v>17392858-0</v>
          </cell>
          <cell r="E217">
            <v>47526</v>
          </cell>
          <cell r="G217">
            <v>47006</v>
          </cell>
          <cell r="I217">
            <v>46663</v>
          </cell>
        </row>
        <row r="218">
          <cell r="B218" t="str">
            <v>17392012-1</v>
          </cell>
          <cell r="E218">
            <v>47345</v>
          </cell>
          <cell r="G218">
            <v>46936</v>
          </cell>
          <cell r="I218">
            <v>47299</v>
          </cell>
        </row>
        <row r="219">
          <cell r="B219" t="str">
            <v>19824546-1</v>
          </cell>
          <cell r="E219">
            <v>46635</v>
          </cell>
          <cell r="G219">
            <v>47272</v>
          </cell>
          <cell r="I219">
            <v>46930</v>
          </cell>
        </row>
        <row r="220">
          <cell r="B220" t="str">
            <v>16294664-1</v>
          </cell>
          <cell r="E220">
            <v>49790</v>
          </cell>
          <cell r="G220">
            <v>46430</v>
          </cell>
          <cell r="I220">
            <v>47443</v>
          </cell>
        </row>
        <row r="221">
          <cell r="B221" t="str">
            <v>16864954-1</v>
          </cell>
          <cell r="E221">
            <v>46846</v>
          </cell>
          <cell r="G221">
            <v>46639</v>
          </cell>
          <cell r="I221">
            <v>47139</v>
          </cell>
        </row>
        <row r="222">
          <cell r="B222" t="str">
            <v>23692021-6</v>
          </cell>
          <cell r="E222">
            <v>46580</v>
          </cell>
          <cell r="G222">
            <v>46396</v>
          </cell>
          <cell r="I222">
            <v>47224</v>
          </cell>
        </row>
        <row r="223">
          <cell r="B223" t="str">
            <v>14553839-4</v>
          </cell>
          <cell r="E223">
            <v>47896</v>
          </cell>
          <cell r="G223">
            <v>46577</v>
          </cell>
          <cell r="I223">
            <v>47003</v>
          </cell>
        </row>
        <row r="224">
          <cell r="B224" t="str">
            <v>15000869-7</v>
          </cell>
          <cell r="E224">
            <v>48186</v>
          </cell>
          <cell r="G224">
            <v>46344</v>
          </cell>
          <cell r="I224">
            <v>46765</v>
          </cell>
        </row>
        <row r="225">
          <cell r="B225" t="str">
            <v>9941712-9</v>
          </cell>
          <cell r="E225">
            <v>48143</v>
          </cell>
          <cell r="G225">
            <v>46816</v>
          </cell>
          <cell r="I225">
            <v>46997</v>
          </cell>
        </row>
        <row r="226">
          <cell r="B226" t="str">
            <v>23312204-1</v>
          </cell>
          <cell r="E226">
            <v>46245</v>
          </cell>
          <cell r="G226">
            <v>47054</v>
          </cell>
          <cell r="I226">
            <v>47459</v>
          </cell>
        </row>
        <row r="227">
          <cell r="B227" t="str">
            <v>18503272-8</v>
          </cell>
          <cell r="E227">
            <v>49073</v>
          </cell>
          <cell r="G227">
            <v>46392</v>
          </cell>
          <cell r="I227">
            <v>46441</v>
          </cell>
        </row>
        <row r="228">
          <cell r="B228" t="str">
            <v>18343068-8</v>
          </cell>
          <cell r="E228">
            <v>46815</v>
          </cell>
          <cell r="G228">
            <v>46689</v>
          </cell>
          <cell r="I228">
            <v>47241</v>
          </cell>
        </row>
        <row r="229">
          <cell r="B229" t="str">
            <v>15220906-1</v>
          </cell>
          <cell r="E229">
            <v>48331</v>
          </cell>
          <cell r="G229">
            <v>46632</v>
          </cell>
          <cell r="I229">
            <v>47003</v>
          </cell>
        </row>
        <row r="230">
          <cell r="B230" t="str">
            <v>21140103-6</v>
          </cell>
          <cell r="E230">
            <v>48488</v>
          </cell>
          <cell r="G230">
            <v>46487</v>
          </cell>
          <cell r="I230">
            <v>46521</v>
          </cell>
        </row>
        <row r="231">
          <cell r="B231" t="str">
            <v>17528299-8</v>
          </cell>
          <cell r="E231">
            <v>47696</v>
          </cell>
          <cell r="G231">
            <v>46781</v>
          </cell>
          <cell r="I231">
            <v>47140</v>
          </cell>
        </row>
        <row r="232">
          <cell r="B232" t="str">
            <v>15947238-8</v>
          </cell>
          <cell r="E232">
            <v>46985</v>
          </cell>
          <cell r="G232">
            <v>46464</v>
          </cell>
          <cell r="I232">
            <v>47208</v>
          </cell>
        </row>
        <row r="233">
          <cell r="B233" t="str">
            <v>18826074-8</v>
          </cell>
          <cell r="E233">
            <v>49214</v>
          </cell>
          <cell r="G233">
            <v>46655</v>
          </cell>
          <cell r="I233">
            <v>47064</v>
          </cell>
        </row>
        <row r="234">
          <cell r="B234" t="str">
            <v>19869128-3</v>
          </cell>
          <cell r="E234">
            <v>46907</v>
          </cell>
          <cell r="G234">
            <v>46571</v>
          </cell>
          <cell r="I234">
            <v>46608</v>
          </cell>
        </row>
        <row r="235">
          <cell r="B235" t="str">
            <v>19950603-K</v>
          </cell>
          <cell r="E235">
            <v>46873</v>
          </cell>
          <cell r="G235">
            <v>47048</v>
          </cell>
          <cell r="I235">
            <v>47085</v>
          </cell>
        </row>
        <row r="236">
          <cell r="B236" t="str">
            <v>18825693-7</v>
          </cell>
          <cell r="E236">
            <v>49118</v>
          </cell>
          <cell r="G236">
            <v>46461</v>
          </cell>
          <cell r="I236">
            <v>47004</v>
          </cell>
        </row>
        <row r="237">
          <cell r="B237" t="str">
            <v>21012980-4</v>
          </cell>
          <cell r="E237">
            <v>47557</v>
          </cell>
          <cell r="G237">
            <v>46453</v>
          </cell>
          <cell r="I237">
            <v>47003</v>
          </cell>
        </row>
        <row r="238">
          <cell r="B238" t="str">
            <v>16785107-K</v>
          </cell>
          <cell r="E238">
            <v>46584</v>
          </cell>
          <cell r="G238">
            <v>46660</v>
          </cell>
          <cell r="I238">
            <v>47049</v>
          </cell>
        </row>
        <row r="239">
          <cell r="B239" t="str">
            <v>20981687-3</v>
          </cell>
          <cell r="E239">
            <v>48278</v>
          </cell>
          <cell r="G239">
            <v>46768</v>
          </cell>
          <cell r="I239">
            <v>47568</v>
          </cell>
        </row>
        <row r="240">
          <cell r="B240" t="str">
            <v>13633602-9</v>
          </cell>
          <cell r="E240">
            <v>47408</v>
          </cell>
          <cell r="G240">
            <v>46631</v>
          </cell>
          <cell r="I240">
            <v>47194</v>
          </cell>
        </row>
        <row r="241">
          <cell r="B241" t="str">
            <v>15710636-8</v>
          </cell>
          <cell r="E241">
            <v>48793</v>
          </cell>
          <cell r="G241">
            <v>46724</v>
          </cell>
          <cell r="I241">
            <v>47004</v>
          </cell>
        </row>
        <row r="242">
          <cell r="B242" t="str">
            <v>17846810-3</v>
          </cell>
          <cell r="E242">
            <v>47937</v>
          </cell>
          <cell r="G242">
            <v>46688</v>
          </cell>
          <cell r="I242">
            <v>47128</v>
          </cell>
        </row>
        <row r="243">
          <cell r="B243" t="str">
            <v>16833226-2</v>
          </cell>
          <cell r="E243">
            <v>46771</v>
          </cell>
          <cell r="G243">
            <v>46768</v>
          </cell>
          <cell r="I243">
            <v>47594</v>
          </cell>
        </row>
        <row r="244">
          <cell r="B244" t="str">
            <v>20348504-2</v>
          </cell>
          <cell r="E244">
            <v>47831</v>
          </cell>
          <cell r="G244">
            <v>46489</v>
          </cell>
          <cell r="I244">
            <v>46300</v>
          </cell>
        </row>
        <row r="245">
          <cell r="B245" t="str">
            <v>19980379-4</v>
          </cell>
          <cell r="E245">
            <v>47217</v>
          </cell>
          <cell r="G245">
            <v>46515</v>
          </cell>
          <cell r="I245">
            <v>47639</v>
          </cell>
        </row>
        <row r="246">
          <cell r="B246" t="str">
            <v>17656770-8</v>
          </cell>
          <cell r="E246">
            <v>48149</v>
          </cell>
          <cell r="G246">
            <v>46424</v>
          </cell>
          <cell r="I246">
            <v>47016</v>
          </cell>
        </row>
        <row r="247">
          <cell r="B247" t="str">
            <v>16591798-7</v>
          </cell>
          <cell r="E247">
            <v>46338</v>
          </cell>
          <cell r="G247">
            <v>46452</v>
          </cell>
          <cell r="I247">
            <v>47305</v>
          </cell>
        </row>
        <row r="248">
          <cell r="B248" t="str">
            <v>16466823-1</v>
          </cell>
          <cell r="E248">
            <v>47345</v>
          </cell>
          <cell r="G248">
            <v>46664</v>
          </cell>
          <cell r="I248">
            <v>47047</v>
          </cell>
        </row>
        <row r="249">
          <cell r="B249" t="str">
            <v>18125852-7</v>
          </cell>
          <cell r="E249">
            <v>46320</v>
          </cell>
          <cell r="G249">
            <v>46535</v>
          </cell>
          <cell r="I249">
            <v>46966</v>
          </cell>
        </row>
        <row r="250">
          <cell r="B250" t="str">
            <v>19496336-K</v>
          </cell>
          <cell r="E250">
            <v>46847</v>
          </cell>
          <cell r="G250">
            <v>46815</v>
          </cell>
          <cell r="I250">
            <v>47144</v>
          </cell>
        </row>
        <row r="251">
          <cell r="B251" t="str">
            <v>14382887-5</v>
          </cell>
          <cell r="E251">
            <v>47654</v>
          </cell>
          <cell r="G251">
            <v>46646</v>
          </cell>
          <cell r="I251">
            <v>46431</v>
          </cell>
        </row>
        <row r="252">
          <cell r="B252" t="str">
            <v>17163244-7</v>
          </cell>
          <cell r="E252">
            <v>47381</v>
          </cell>
          <cell r="G252">
            <v>46853</v>
          </cell>
          <cell r="I252">
            <v>47111</v>
          </cell>
        </row>
        <row r="253">
          <cell r="B253" t="str">
            <v>18100391-K</v>
          </cell>
          <cell r="E253">
            <v>48263</v>
          </cell>
          <cell r="G253">
            <v>46446</v>
          </cell>
          <cell r="I253">
            <v>47538</v>
          </cell>
        </row>
        <row r="254">
          <cell r="B254" t="str">
            <v>20347179-3</v>
          </cell>
          <cell r="E254">
            <v>47450</v>
          </cell>
          <cell r="G254">
            <v>46557</v>
          </cell>
          <cell r="I254">
            <v>46614</v>
          </cell>
        </row>
        <row r="255">
          <cell r="B255" t="str">
            <v>13176816-8</v>
          </cell>
          <cell r="E255">
            <v>46452</v>
          </cell>
          <cell r="G255">
            <v>46506</v>
          </cell>
          <cell r="I255">
            <v>47011</v>
          </cell>
        </row>
        <row r="256">
          <cell r="B256" t="str">
            <v>20348100-4</v>
          </cell>
          <cell r="E256">
            <v>47723</v>
          </cell>
          <cell r="G256">
            <v>46424</v>
          </cell>
          <cell r="I256">
            <v>46454</v>
          </cell>
        </row>
        <row r="257">
          <cell r="B257" t="str">
            <v>18984112-4</v>
          </cell>
          <cell r="E257">
            <v>49264</v>
          </cell>
          <cell r="G257">
            <v>46922</v>
          </cell>
          <cell r="I257">
            <v>47204</v>
          </cell>
        </row>
        <row r="258">
          <cell r="B258" t="str">
            <v>18125329-0</v>
          </cell>
          <cell r="E258">
            <v>48348</v>
          </cell>
          <cell r="G258">
            <v>46739</v>
          </cell>
          <cell r="I258">
            <v>47158</v>
          </cell>
        </row>
        <row r="259">
          <cell r="B259" t="str">
            <v>13745129-8</v>
          </cell>
          <cell r="E259">
            <v>47791</v>
          </cell>
          <cell r="G259">
            <v>46591</v>
          </cell>
          <cell r="I259">
            <v>47327</v>
          </cell>
        </row>
        <row r="260">
          <cell r="B260" t="str">
            <v>21387458-6</v>
          </cell>
          <cell r="E260">
            <v>48830</v>
          </cell>
          <cell r="G260">
            <v>46529</v>
          </cell>
          <cell r="I260">
            <v>46250</v>
          </cell>
        </row>
        <row r="261">
          <cell r="B261" t="str">
            <v>14308582-1</v>
          </cell>
          <cell r="E261">
            <v>49772</v>
          </cell>
          <cell r="G261">
            <v>46724</v>
          </cell>
          <cell r="I261">
            <v>47506</v>
          </cell>
        </row>
        <row r="262">
          <cell r="B262" t="str">
            <v>19505098-8</v>
          </cell>
          <cell r="E262">
            <v>46294</v>
          </cell>
          <cell r="G262">
            <v>46886</v>
          </cell>
          <cell r="I262">
            <v>46348</v>
          </cell>
        </row>
        <row r="263">
          <cell r="B263" t="str">
            <v>22856322-6</v>
          </cell>
          <cell r="E263">
            <v>47715</v>
          </cell>
          <cell r="G263">
            <v>46517</v>
          </cell>
          <cell r="I263">
            <v>47373</v>
          </cell>
        </row>
        <row r="264">
          <cell r="B264" t="str">
            <v>18972102-1</v>
          </cell>
          <cell r="E264">
            <v>47400</v>
          </cell>
          <cell r="G264">
            <v>46362</v>
          </cell>
          <cell r="I264">
            <v>46432</v>
          </cell>
        </row>
        <row r="265">
          <cell r="B265" t="str">
            <v>19147854-1</v>
          </cell>
          <cell r="E265">
            <v>49522</v>
          </cell>
          <cell r="G265">
            <v>46938</v>
          </cell>
          <cell r="I265">
            <v>47006</v>
          </cell>
        </row>
        <row r="266">
          <cell r="B266" t="str">
            <v>15015302-6</v>
          </cell>
          <cell r="E266">
            <v>46348</v>
          </cell>
          <cell r="G266">
            <v>46292</v>
          </cell>
          <cell r="I266">
            <v>47055</v>
          </cell>
        </row>
        <row r="267">
          <cell r="B267" t="str">
            <v>15011725-9</v>
          </cell>
          <cell r="E267">
            <v>46657</v>
          </cell>
          <cell r="G267">
            <v>46265</v>
          </cell>
          <cell r="I267">
            <v>47200</v>
          </cell>
        </row>
        <row r="268">
          <cell r="B268" t="str">
            <v>19825050-3</v>
          </cell>
          <cell r="E268">
            <v>46771</v>
          </cell>
          <cell r="G268">
            <v>46601</v>
          </cell>
          <cell r="I268">
            <v>46697</v>
          </cell>
        </row>
        <row r="269">
          <cell r="B269" t="str">
            <v>8265686-3</v>
          </cell>
          <cell r="E269">
            <v>48437</v>
          </cell>
          <cell r="G269">
            <v>46387</v>
          </cell>
          <cell r="I269">
            <v>47003</v>
          </cell>
        </row>
        <row r="270">
          <cell r="B270" t="str">
            <v>19898803-0</v>
          </cell>
          <cell r="E270">
            <v>46675</v>
          </cell>
          <cell r="G270">
            <v>46661</v>
          </cell>
          <cell r="I270">
            <v>47061</v>
          </cell>
        </row>
        <row r="271">
          <cell r="B271" t="str">
            <v>20352192-8</v>
          </cell>
          <cell r="E271">
            <v>47509</v>
          </cell>
          <cell r="G271">
            <v>46537</v>
          </cell>
          <cell r="I271">
            <v>46208</v>
          </cell>
        </row>
        <row r="272">
          <cell r="B272" t="str">
            <v>17174175-0</v>
          </cell>
          <cell r="E272">
            <v>47233</v>
          </cell>
          <cell r="G272">
            <v>46871</v>
          </cell>
          <cell r="I272">
            <v>47123</v>
          </cell>
        </row>
        <row r="273">
          <cell r="B273" t="str">
            <v>18273568-K</v>
          </cell>
          <cell r="E273">
            <v>48550</v>
          </cell>
          <cell r="G273">
            <v>46922</v>
          </cell>
          <cell r="I273">
            <v>47244</v>
          </cell>
        </row>
        <row r="274">
          <cell r="B274" t="str">
            <v>16259980-1</v>
          </cell>
          <cell r="E274">
            <v>46188</v>
          </cell>
          <cell r="G274">
            <v>46669</v>
          </cell>
          <cell r="I274">
            <v>47061</v>
          </cell>
        </row>
        <row r="275">
          <cell r="B275" t="str">
            <v>16565094-8</v>
          </cell>
          <cell r="E275">
            <v>46371</v>
          </cell>
          <cell r="G275">
            <v>46829</v>
          </cell>
          <cell r="I275">
            <v>47098</v>
          </cell>
        </row>
        <row r="276">
          <cell r="B276" t="str">
            <v>16274559-K</v>
          </cell>
          <cell r="E276">
            <v>46500</v>
          </cell>
          <cell r="G276">
            <v>46410</v>
          </cell>
          <cell r="I276">
            <v>47004</v>
          </cell>
        </row>
        <row r="277">
          <cell r="B277" t="str">
            <v>18183181-2</v>
          </cell>
          <cell r="E277">
            <v>48389</v>
          </cell>
          <cell r="G277">
            <v>46788</v>
          </cell>
          <cell r="I277">
            <v>47224</v>
          </cell>
        </row>
        <row r="278">
          <cell r="B278" t="str">
            <v>20352538-9</v>
          </cell>
          <cell r="E278">
            <v>47801</v>
          </cell>
          <cell r="G278">
            <v>46759</v>
          </cell>
          <cell r="I278">
            <v>47529</v>
          </cell>
        </row>
        <row r="279">
          <cell r="B279" t="str">
            <v>19899407-3</v>
          </cell>
          <cell r="E279">
            <v>47152</v>
          </cell>
          <cell r="G279">
            <v>46994</v>
          </cell>
          <cell r="I279">
            <v>47375</v>
          </cell>
        </row>
        <row r="280">
          <cell r="B280" t="str">
            <v>19463442-0</v>
          </cell>
          <cell r="E280">
            <v>46463</v>
          </cell>
          <cell r="G280">
            <v>47173</v>
          </cell>
          <cell r="I280">
            <v>47572</v>
          </cell>
        </row>
        <row r="281">
          <cell r="B281" t="str">
            <v>16059866-2</v>
          </cell>
          <cell r="E281">
            <v>47339</v>
          </cell>
          <cell r="G281">
            <v>46348</v>
          </cell>
          <cell r="I281">
            <v>47219</v>
          </cell>
        </row>
        <row r="282">
          <cell r="B282" t="str">
            <v>19206141-5</v>
          </cell>
          <cell r="E282">
            <v>46194</v>
          </cell>
          <cell r="G282">
            <v>46769</v>
          </cell>
          <cell r="I282">
            <v>47155</v>
          </cell>
        </row>
        <row r="283">
          <cell r="B283" t="str">
            <v>10978655-1</v>
          </cell>
          <cell r="E283">
            <v>46754</v>
          </cell>
          <cell r="G283">
            <v>46210</v>
          </cell>
          <cell r="I283">
            <v>47342</v>
          </cell>
        </row>
        <row r="284">
          <cell r="B284" t="str">
            <v>13900509-0</v>
          </cell>
          <cell r="E284">
            <v>46317</v>
          </cell>
          <cell r="G284">
            <v>46228</v>
          </cell>
          <cell r="I284">
            <v>47342</v>
          </cell>
        </row>
        <row r="285">
          <cell r="B285" t="str">
            <v>19955138-8</v>
          </cell>
          <cell r="E285">
            <v>46858</v>
          </cell>
          <cell r="G285">
            <v>46231</v>
          </cell>
          <cell r="I285">
            <v>46383</v>
          </cell>
        </row>
        <row r="286">
          <cell r="B286" t="str">
            <v>19294905-K</v>
          </cell>
          <cell r="E286">
            <v>47725</v>
          </cell>
          <cell r="G286">
            <v>46220</v>
          </cell>
          <cell r="I286">
            <v>47343</v>
          </cell>
        </row>
        <row r="287">
          <cell r="B287" t="str">
            <v>18506683-5</v>
          </cell>
          <cell r="E287">
            <v>48789</v>
          </cell>
          <cell r="G287">
            <v>46220</v>
          </cell>
          <cell r="I287">
            <v>47342</v>
          </cell>
        </row>
        <row r="288">
          <cell r="B288" t="str">
            <v>12356920-2</v>
          </cell>
          <cell r="E288">
            <v>48885</v>
          </cell>
          <cell r="G288">
            <v>46579</v>
          </cell>
          <cell r="I288">
            <v>47271</v>
          </cell>
        </row>
        <row r="289">
          <cell r="B289" t="str">
            <v>18482647-K</v>
          </cell>
          <cell r="E289">
            <v>48768</v>
          </cell>
          <cell r="G289">
            <v>46935</v>
          </cell>
          <cell r="I289">
            <v>47324</v>
          </cell>
        </row>
        <row r="290">
          <cell r="B290" t="str">
            <v>18898922-5</v>
          </cell>
          <cell r="E290">
            <v>49323</v>
          </cell>
          <cell r="G290">
            <v>46824</v>
          </cell>
          <cell r="I290">
            <v>47131</v>
          </cell>
        </row>
        <row r="291">
          <cell r="B291" t="str">
            <v>17393414-9</v>
          </cell>
          <cell r="E291">
            <v>47622</v>
          </cell>
          <cell r="G291">
            <v>46725</v>
          </cell>
          <cell r="I291">
            <v>46846</v>
          </cell>
        </row>
        <row r="292">
          <cell r="B292" t="str">
            <v>21668273-4</v>
          </cell>
          <cell r="E292">
            <v>46506</v>
          </cell>
          <cell r="G292">
            <v>46408</v>
          </cell>
          <cell r="I292">
            <v>46550</v>
          </cell>
        </row>
        <row r="293">
          <cell r="B293" t="str">
            <v>18843422-3</v>
          </cell>
          <cell r="E293">
            <v>49361</v>
          </cell>
          <cell r="G293">
            <v>47092</v>
          </cell>
          <cell r="I293">
            <v>46459</v>
          </cell>
        </row>
        <row r="294">
          <cell r="B294" t="str">
            <v>18599689-1</v>
          </cell>
          <cell r="E294">
            <v>48795</v>
          </cell>
          <cell r="G294">
            <v>47005</v>
          </cell>
          <cell r="I294">
            <v>47390</v>
          </cell>
        </row>
        <row r="295">
          <cell r="B295" t="str">
            <v>19870221-8</v>
          </cell>
          <cell r="E295">
            <v>47010</v>
          </cell>
          <cell r="G295">
            <v>47111</v>
          </cell>
          <cell r="I295">
            <v>47339</v>
          </cell>
        </row>
        <row r="296">
          <cell r="B296" t="str">
            <v>17388655-1</v>
          </cell>
          <cell r="E296">
            <v>47374</v>
          </cell>
          <cell r="G296">
            <v>46243</v>
          </cell>
          <cell r="I296">
            <v>46721</v>
          </cell>
        </row>
        <row r="297">
          <cell r="B297" t="str">
            <v>22596072-0</v>
          </cell>
          <cell r="E297">
            <v>47323</v>
          </cell>
          <cell r="G297">
            <v>46618</v>
          </cell>
          <cell r="I297">
            <v>46992</v>
          </cell>
        </row>
        <row r="298">
          <cell r="B298" t="str">
            <v>13418195-8</v>
          </cell>
          <cell r="E298">
            <v>47081</v>
          </cell>
          <cell r="G298">
            <v>46452</v>
          </cell>
          <cell r="I298">
            <v>46549</v>
          </cell>
        </row>
        <row r="299">
          <cell r="B299" t="str">
            <v>19594424-5</v>
          </cell>
          <cell r="E299">
            <v>46779</v>
          </cell>
          <cell r="G299">
            <v>47257</v>
          </cell>
          <cell r="I299">
            <v>46209</v>
          </cell>
        </row>
        <row r="300">
          <cell r="B300" t="str">
            <v>15016249-1</v>
          </cell>
          <cell r="E300">
            <v>48726</v>
          </cell>
          <cell r="G300">
            <v>46606</v>
          </cell>
          <cell r="I300">
            <v>47375</v>
          </cell>
        </row>
        <row r="301">
          <cell r="B301" t="str">
            <v>19539113-0</v>
          </cell>
          <cell r="E301">
            <v>46555</v>
          </cell>
          <cell r="G301">
            <v>46432</v>
          </cell>
          <cell r="I301">
            <v>46583</v>
          </cell>
        </row>
        <row r="302">
          <cell r="B302" t="str">
            <v>14706187-0</v>
          </cell>
          <cell r="E302">
            <v>46460</v>
          </cell>
          <cell r="G302">
            <v>46807</v>
          </cell>
          <cell r="I302">
            <v>47216</v>
          </cell>
        </row>
        <row r="303">
          <cell r="B303" t="str">
            <v>12173135-5</v>
          </cell>
          <cell r="E303">
            <v>48320</v>
          </cell>
          <cell r="G303">
            <v>46717</v>
          </cell>
          <cell r="I303">
            <v>47071</v>
          </cell>
        </row>
        <row r="304">
          <cell r="B304" t="str">
            <v>19825239-5</v>
          </cell>
          <cell r="E304">
            <v>46785</v>
          </cell>
          <cell r="G304">
            <v>47063</v>
          </cell>
          <cell r="I304">
            <v>47526</v>
          </cell>
        </row>
        <row r="305">
          <cell r="B305" t="str">
            <v>20347941-7</v>
          </cell>
          <cell r="E305">
            <v>47639</v>
          </cell>
          <cell r="G305">
            <v>46196</v>
          </cell>
          <cell r="I305">
            <v>46307</v>
          </cell>
        </row>
        <row r="306">
          <cell r="B306" t="str">
            <v>21477298-1</v>
          </cell>
          <cell r="E306">
            <v>48945</v>
          </cell>
          <cell r="G306">
            <v>46760</v>
          </cell>
          <cell r="I306">
            <v>46776</v>
          </cell>
        </row>
        <row r="307">
          <cell r="B307" t="str">
            <v>20246649-4</v>
          </cell>
          <cell r="E307">
            <v>47240</v>
          </cell>
          <cell r="G307">
            <v>47062</v>
          </cell>
          <cell r="I307">
            <v>47088</v>
          </cell>
        </row>
        <row r="308">
          <cell r="B308" t="str">
            <v>15001660-6</v>
          </cell>
          <cell r="E308">
            <v>49267</v>
          </cell>
          <cell r="G308">
            <v>46370</v>
          </cell>
          <cell r="I308">
            <v>47226</v>
          </cell>
        </row>
        <row r="309">
          <cell r="B309" t="str">
            <v>11326095-5</v>
          </cell>
          <cell r="E309">
            <v>47040</v>
          </cell>
          <cell r="G309">
            <v>46429</v>
          </cell>
          <cell r="I309">
            <v>46601</v>
          </cell>
        </row>
        <row r="310">
          <cell r="B310" t="str">
            <v>19303000-9</v>
          </cell>
          <cell r="E310">
            <v>46359</v>
          </cell>
          <cell r="G310">
            <v>46355</v>
          </cell>
          <cell r="I310">
            <v>46424</v>
          </cell>
        </row>
        <row r="311">
          <cell r="B311" t="str">
            <v>12210034-0</v>
          </cell>
          <cell r="E311">
            <v>48286</v>
          </cell>
          <cell r="G311">
            <v>46516</v>
          </cell>
          <cell r="I311">
            <v>46742</v>
          </cell>
        </row>
        <row r="312">
          <cell r="B312" t="str">
            <v>20228794-8</v>
          </cell>
          <cell r="E312">
            <v>47612</v>
          </cell>
          <cell r="G312">
            <v>46340</v>
          </cell>
          <cell r="I312">
            <v>46396</v>
          </cell>
        </row>
        <row r="313">
          <cell r="B313" t="str">
            <v>18505863-8</v>
          </cell>
          <cell r="E313">
            <v>48472</v>
          </cell>
          <cell r="G313">
            <v>47090</v>
          </cell>
          <cell r="I313">
            <v>46434</v>
          </cell>
        </row>
        <row r="314">
          <cell r="B314" t="str">
            <v>18182953-2</v>
          </cell>
          <cell r="E314">
            <v>48324</v>
          </cell>
          <cell r="G314">
            <v>46873</v>
          </cell>
          <cell r="I314">
            <v>47194</v>
          </cell>
        </row>
        <row r="315">
          <cell r="B315" t="str">
            <v>17093252-8</v>
          </cell>
          <cell r="E315">
            <v>47108</v>
          </cell>
          <cell r="G315">
            <v>46427</v>
          </cell>
          <cell r="I315">
            <v>46549</v>
          </cell>
        </row>
        <row r="316">
          <cell r="B316" t="str">
            <v>18666334-9</v>
          </cell>
          <cell r="E316">
            <v>49015</v>
          </cell>
          <cell r="G316">
            <v>47053</v>
          </cell>
          <cell r="I316">
            <v>47524</v>
          </cell>
        </row>
        <row r="317">
          <cell r="B317" t="str">
            <v>21582435-7</v>
          </cell>
          <cell r="E317">
            <v>47035</v>
          </cell>
          <cell r="G317">
            <v>46825</v>
          </cell>
          <cell r="I317">
            <v>46882</v>
          </cell>
        </row>
        <row r="318">
          <cell r="B318" t="str">
            <v>14590371-8</v>
          </cell>
          <cell r="E318">
            <v>47872</v>
          </cell>
          <cell r="G318">
            <v>46794</v>
          </cell>
          <cell r="I318">
            <v>46554</v>
          </cell>
        </row>
        <row r="319">
          <cell r="B319" t="str">
            <v>18786971-4</v>
          </cell>
          <cell r="E319">
            <v>48049</v>
          </cell>
          <cell r="G319">
            <v>47174</v>
          </cell>
          <cell r="I319">
            <v>47229</v>
          </cell>
        </row>
        <row r="320">
          <cell r="B320" t="str">
            <v>16705838-8</v>
          </cell>
          <cell r="E320">
            <v>46807</v>
          </cell>
          <cell r="G320">
            <v>47132</v>
          </cell>
          <cell r="I320">
            <v>47180</v>
          </cell>
        </row>
        <row r="321">
          <cell r="B321" t="str">
            <v>16524119-3</v>
          </cell>
          <cell r="E321">
            <v>46271</v>
          </cell>
          <cell r="G321">
            <v>46817</v>
          </cell>
          <cell r="I321">
            <v>47319</v>
          </cell>
        </row>
        <row r="322">
          <cell r="B322" t="str">
            <v>16927573-4</v>
          </cell>
          <cell r="E322">
            <v>47099</v>
          </cell>
          <cell r="G322">
            <v>47090</v>
          </cell>
          <cell r="I322">
            <v>47571</v>
          </cell>
        </row>
        <row r="323">
          <cell r="B323" t="str">
            <v>24098119-K</v>
          </cell>
          <cell r="E323">
            <v>47123</v>
          </cell>
          <cell r="G323">
            <v>46859</v>
          </cell>
          <cell r="I323">
            <v>46732</v>
          </cell>
        </row>
        <row r="324">
          <cell r="B324" t="str">
            <v>20348577-8</v>
          </cell>
          <cell r="E324">
            <v>47872</v>
          </cell>
          <cell r="G324">
            <v>46831</v>
          </cell>
          <cell r="I324">
            <v>47226</v>
          </cell>
        </row>
        <row r="325">
          <cell r="B325" t="str">
            <v>19802530-5</v>
          </cell>
          <cell r="E325">
            <v>46774</v>
          </cell>
          <cell r="G325">
            <v>46781</v>
          </cell>
          <cell r="I325">
            <v>47636</v>
          </cell>
        </row>
        <row r="326">
          <cell r="B326" t="str">
            <v>10352574-8</v>
          </cell>
          <cell r="E326">
            <v>47573</v>
          </cell>
          <cell r="G326">
            <v>46346</v>
          </cell>
          <cell r="I326">
            <v>47138</v>
          </cell>
        </row>
        <row r="327">
          <cell r="B327" t="str">
            <v>22671424-3</v>
          </cell>
          <cell r="E327">
            <v>47429</v>
          </cell>
          <cell r="G327">
            <v>46690</v>
          </cell>
          <cell r="I327">
            <v>47284</v>
          </cell>
        </row>
        <row r="328">
          <cell r="B328" t="str">
            <v>21579333-8</v>
          </cell>
          <cell r="E328">
            <v>49087</v>
          </cell>
          <cell r="G328">
            <v>47160</v>
          </cell>
          <cell r="I328">
            <v>46318</v>
          </cell>
        </row>
        <row r="329">
          <cell r="B329" t="str">
            <v>19351425-1</v>
          </cell>
          <cell r="E329">
            <v>46466</v>
          </cell>
          <cell r="G329">
            <v>47049</v>
          </cell>
          <cell r="I329">
            <v>47525</v>
          </cell>
        </row>
        <row r="330">
          <cell r="B330" t="str">
            <v>15270888-2</v>
          </cell>
          <cell r="E330">
            <v>46481</v>
          </cell>
          <cell r="G330">
            <v>46600</v>
          </cell>
          <cell r="I330">
            <v>46436</v>
          </cell>
        </row>
        <row r="331">
          <cell r="B331" t="str">
            <v>21824070-4</v>
          </cell>
          <cell r="E331">
            <v>46660</v>
          </cell>
          <cell r="G331">
            <v>47083</v>
          </cell>
          <cell r="I331">
            <v>46721</v>
          </cell>
        </row>
        <row r="332">
          <cell r="B332" t="str">
            <v>20213341-K</v>
          </cell>
          <cell r="E332">
            <v>47418</v>
          </cell>
          <cell r="G332">
            <v>47258</v>
          </cell>
          <cell r="I332">
            <v>46307</v>
          </cell>
        </row>
        <row r="333">
          <cell r="B333" t="str">
            <v>21956950-5</v>
          </cell>
          <cell r="E333">
            <v>46731</v>
          </cell>
          <cell r="G333">
            <v>46328</v>
          </cell>
          <cell r="I333">
            <v>47073</v>
          </cell>
        </row>
        <row r="334">
          <cell r="B334" t="str">
            <v>17392043-1</v>
          </cell>
          <cell r="E334">
            <v>47339</v>
          </cell>
          <cell r="G334">
            <v>47048</v>
          </cell>
          <cell r="I334">
            <v>47253</v>
          </cell>
        </row>
        <row r="335">
          <cell r="B335" t="str">
            <v>17121472-6</v>
          </cell>
          <cell r="E335">
            <v>47020</v>
          </cell>
          <cell r="G335">
            <v>46229</v>
          </cell>
          <cell r="I335">
            <v>47354</v>
          </cell>
        </row>
        <row r="336">
          <cell r="B336" t="str">
            <v>18599702-2</v>
          </cell>
          <cell r="E336">
            <v>48825</v>
          </cell>
          <cell r="G336">
            <v>46936</v>
          </cell>
          <cell r="I336">
            <v>47309</v>
          </cell>
        </row>
        <row r="337">
          <cell r="B337" t="str">
            <v>21461176-7</v>
          </cell>
          <cell r="E337">
            <v>46731</v>
          </cell>
          <cell r="G337">
            <v>47159</v>
          </cell>
          <cell r="I337">
            <v>46182</v>
          </cell>
        </row>
        <row r="338">
          <cell r="B338" t="str">
            <v>15909499-5</v>
          </cell>
          <cell r="E338">
            <v>49354</v>
          </cell>
          <cell r="G338">
            <v>46697</v>
          </cell>
          <cell r="I338">
            <v>47003</v>
          </cell>
        </row>
        <row r="339">
          <cell r="B339" t="str">
            <v>23295011-0</v>
          </cell>
          <cell r="E339">
            <v>47172</v>
          </cell>
          <cell r="G339">
            <v>46228</v>
          </cell>
          <cell r="I339">
            <v>47353</v>
          </cell>
        </row>
        <row r="340">
          <cell r="B340" t="str">
            <v>15557244-2</v>
          </cell>
          <cell r="E340">
            <v>48692</v>
          </cell>
          <cell r="G340">
            <v>46485</v>
          </cell>
          <cell r="I340">
            <v>46721</v>
          </cell>
        </row>
        <row r="341">
          <cell r="B341" t="str">
            <v>16493030-0</v>
          </cell>
          <cell r="E341">
            <v>46427</v>
          </cell>
          <cell r="G341">
            <v>46235</v>
          </cell>
          <cell r="I341">
            <v>47357</v>
          </cell>
        </row>
        <row r="342">
          <cell r="B342" t="str">
            <v>18280305-7</v>
          </cell>
          <cell r="E342">
            <v>46966</v>
          </cell>
          <cell r="G342">
            <v>46238</v>
          </cell>
          <cell r="I342">
            <v>47355</v>
          </cell>
        </row>
        <row r="343">
          <cell r="B343" t="str">
            <v>19189856-7</v>
          </cell>
          <cell r="E343">
            <v>49746</v>
          </cell>
          <cell r="G343">
            <v>47147</v>
          </cell>
          <cell r="I343">
            <v>46469</v>
          </cell>
        </row>
        <row r="344">
          <cell r="B344" t="str">
            <v>21645832-K</v>
          </cell>
          <cell r="E344">
            <v>46988</v>
          </cell>
          <cell r="G344">
            <v>46432</v>
          </cell>
          <cell r="I344">
            <v>46585</v>
          </cell>
        </row>
        <row r="345">
          <cell r="B345" t="str">
            <v>18826788-2</v>
          </cell>
          <cell r="E345">
            <v>49393</v>
          </cell>
          <cell r="G345">
            <v>47075</v>
          </cell>
          <cell r="I345">
            <v>46414</v>
          </cell>
        </row>
        <row r="346">
          <cell r="B346" t="str">
            <v>18825190-0</v>
          </cell>
          <cell r="E346">
            <v>49404</v>
          </cell>
          <cell r="G346">
            <v>47105</v>
          </cell>
          <cell r="I346">
            <v>46434</v>
          </cell>
        </row>
        <row r="347">
          <cell r="B347" t="str">
            <v>19463633-4</v>
          </cell>
          <cell r="E347">
            <v>46689</v>
          </cell>
          <cell r="G347">
            <v>46837</v>
          </cell>
          <cell r="I347">
            <v>47207</v>
          </cell>
        </row>
        <row r="348">
          <cell r="B348" t="str">
            <v>17246055-0</v>
          </cell>
          <cell r="E348">
            <v>47287</v>
          </cell>
          <cell r="G348">
            <v>46232</v>
          </cell>
          <cell r="I348">
            <v>46461</v>
          </cell>
        </row>
        <row r="349">
          <cell r="B349" t="str">
            <v>19102957-7</v>
          </cell>
          <cell r="E349">
            <v>49598</v>
          </cell>
          <cell r="G349">
            <v>46887</v>
          </cell>
          <cell r="I349">
            <v>47496</v>
          </cell>
        </row>
        <row r="350">
          <cell r="B350" t="str">
            <v>19117249-3</v>
          </cell>
          <cell r="E350">
            <v>49471</v>
          </cell>
          <cell r="G350">
            <v>47175</v>
          </cell>
          <cell r="I350">
            <v>47258</v>
          </cell>
        </row>
        <row r="351">
          <cell r="B351" t="str">
            <v>20093724-4</v>
          </cell>
          <cell r="E351">
            <v>47186</v>
          </cell>
          <cell r="G351">
            <v>46529</v>
          </cell>
          <cell r="I351">
            <v>47615</v>
          </cell>
        </row>
        <row r="352">
          <cell r="B352" t="str">
            <v>17654578-K</v>
          </cell>
          <cell r="E352">
            <v>47709</v>
          </cell>
          <cell r="G352">
            <v>46257</v>
          </cell>
          <cell r="I352">
            <v>47295</v>
          </cell>
        </row>
        <row r="353">
          <cell r="B353" t="str">
            <v>16333563-8</v>
          </cell>
          <cell r="E353">
            <v>49862</v>
          </cell>
          <cell r="G353">
            <v>47054</v>
          </cell>
          <cell r="I353">
            <v>47074</v>
          </cell>
        </row>
        <row r="354">
          <cell r="B354" t="str">
            <v>18199315-4</v>
          </cell>
          <cell r="E354">
            <v>47487</v>
          </cell>
          <cell r="G354">
            <v>47068</v>
          </cell>
          <cell r="I354">
            <v>46433</v>
          </cell>
        </row>
        <row r="355">
          <cell r="B355" t="str">
            <v>20093585-3</v>
          </cell>
          <cell r="E355">
            <v>47160</v>
          </cell>
          <cell r="G355">
            <v>47173</v>
          </cell>
          <cell r="I355">
            <v>47573</v>
          </cell>
        </row>
        <row r="356">
          <cell r="B356" t="str">
            <v>14100601-0</v>
          </cell>
          <cell r="E356">
            <v>47988</v>
          </cell>
          <cell r="G356">
            <v>46598</v>
          </cell>
          <cell r="I356">
            <v>47286</v>
          </cell>
        </row>
        <row r="357">
          <cell r="B357" t="str">
            <v>17912909-4</v>
          </cell>
          <cell r="E357">
            <v>48222</v>
          </cell>
          <cell r="G357">
            <v>47110</v>
          </cell>
          <cell r="I357">
            <v>47397</v>
          </cell>
        </row>
        <row r="358">
          <cell r="B358" t="str">
            <v>18154614-K</v>
          </cell>
          <cell r="E358">
            <v>48302</v>
          </cell>
          <cell r="G358">
            <v>46293</v>
          </cell>
          <cell r="I358">
            <v>46346</v>
          </cell>
        </row>
        <row r="359">
          <cell r="B359" t="str">
            <v>19825597-1</v>
          </cell>
          <cell r="E359">
            <v>46881</v>
          </cell>
          <cell r="G359">
            <v>46298</v>
          </cell>
          <cell r="I359">
            <v>46606</v>
          </cell>
        </row>
        <row r="360">
          <cell r="B360" t="str">
            <v>14099911-3</v>
          </cell>
          <cell r="E360">
            <v>48106</v>
          </cell>
          <cell r="G360">
            <v>46852</v>
          </cell>
          <cell r="I360">
            <v>47125</v>
          </cell>
        </row>
        <row r="361">
          <cell r="B361" t="str">
            <v>20133232-K</v>
          </cell>
          <cell r="E361">
            <v>47270</v>
          </cell>
          <cell r="G361">
            <v>46242</v>
          </cell>
          <cell r="I361">
            <v>47353</v>
          </cell>
        </row>
        <row r="362">
          <cell r="B362" t="str">
            <v>17246054-2</v>
          </cell>
          <cell r="E362">
            <v>47287</v>
          </cell>
          <cell r="G362">
            <v>46238</v>
          </cell>
          <cell r="I362">
            <v>47315</v>
          </cell>
        </row>
        <row r="363">
          <cell r="B363" t="str">
            <v>17274069-3</v>
          </cell>
          <cell r="E363">
            <v>47269</v>
          </cell>
          <cell r="G363">
            <v>46494</v>
          </cell>
          <cell r="I363">
            <v>47229</v>
          </cell>
        </row>
        <row r="364">
          <cell r="B364" t="str">
            <v>17245903-K</v>
          </cell>
          <cell r="E364">
            <v>47204</v>
          </cell>
          <cell r="G364">
            <v>46661</v>
          </cell>
          <cell r="I364">
            <v>47358</v>
          </cell>
        </row>
        <row r="365">
          <cell r="B365" t="str">
            <v>18739471-6</v>
          </cell>
          <cell r="E365">
            <v>46895</v>
          </cell>
          <cell r="G365">
            <v>46241</v>
          </cell>
          <cell r="I365">
            <v>47365</v>
          </cell>
        </row>
        <row r="366">
          <cell r="B366" t="str">
            <v>17343560-6</v>
          </cell>
          <cell r="E366">
            <v>47327</v>
          </cell>
          <cell r="G366">
            <v>46215</v>
          </cell>
          <cell r="I366">
            <v>47218</v>
          </cell>
        </row>
        <row r="367">
          <cell r="B367" t="str">
            <v>20911553-0</v>
          </cell>
          <cell r="E367">
            <v>48160</v>
          </cell>
          <cell r="G367">
            <v>46256</v>
          </cell>
          <cell r="I367">
            <v>47367</v>
          </cell>
        </row>
        <row r="368">
          <cell r="B368" t="str">
            <v>17644439-8</v>
          </cell>
          <cell r="E368">
            <v>47498</v>
          </cell>
          <cell r="G368">
            <v>46235</v>
          </cell>
          <cell r="I368">
            <v>47368</v>
          </cell>
        </row>
        <row r="369">
          <cell r="B369" t="str">
            <v>18703725-5</v>
          </cell>
          <cell r="E369">
            <v>48969</v>
          </cell>
          <cell r="G369">
            <v>46241</v>
          </cell>
          <cell r="I369">
            <v>47088</v>
          </cell>
        </row>
        <row r="370">
          <cell r="B370" t="str">
            <v>14535481-1</v>
          </cell>
          <cell r="E370">
            <v>47730</v>
          </cell>
          <cell r="G370">
            <v>46241</v>
          </cell>
          <cell r="I370">
            <v>46836</v>
          </cell>
        </row>
        <row r="371">
          <cell r="B371" t="str">
            <v>20600081-3</v>
          </cell>
          <cell r="E371">
            <v>47807</v>
          </cell>
          <cell r="G371">
            <v>46285</v>
          </cell>
          <cell r="I371">
            <v>47368</v>
          </cell>
        </row>
        <row r="372">
          <cell r="B372" t="str">
            <v>13837400-9</v>
          </cell>
          <cell r="E372">
            <v>47644</v>
          </cell>
          <cell r="G372">
            <v>46256</v>
          </cell>
          <cell r="I372">
            <v>47368</v>
          </cell>
        </row>
        <row r="373">
          <cell r="B373" t="str">
            <v>15693285-K</v>
          </cell>
          <cell r="E373">
            <v>48814</v>
          </cell>
          <cell r="G373">
            <v>46899</v>
          </cell>
          <cell r="I373">
            <v>46587</v>
          </cell>
        </row>
        <row r="374">
          <cell r="B374" t="str">
            <v>12530524-5</v>
          </cell>
          <cell r="E374">
            <v>48878</v>
          </cell>
          <cell r="G374">
            <v>46332</v>
          </cell>
          <cell r="I374">
            <v>47165</v>
          </cell>
        </row>
        <row r="375">
          <cell r="B375" t="str">
            <v>18179935-8</v>
          </cell>
          <cell r="E375">
            <v>48439</v>
          </cell>
          <cell r="G375">
            <v>47011</v>
          </cell>
          <cell r="I375">
            <v>47141</v>
          </cell>
        </row>
        <row r="376">
          <cell r="B376" t="str">
            <v>18183699-7</v>
          </cell>
          <cell r="E376">
            <v>46310</v>
          </cell>
          <cell r="G376">
            <v>47009</v>
          </cell>
          <cell r="I376">
            <v>47596</v>
          </cell>
        </row>
        <row r="377">
          <cell r="B377" t="str">
            <v>17865291-5</v>
          </cell>
          <cell r="E377">
            <v>47774</v>
          </cell>
          <cell r="G377">
            <v>46725</v>
          </cell>
          <cell r="I377">
            <v>46615</v>
          </cell>
        </row>
        <row r="378">
          <cell r="B378" t="str">
            <v>15149160-K</v>
          </cell>
          <cell r="E378">
            <v>48310</v>
          </cell>
          <cell r="G378">
            <v>46395</v>
          </cell>
          <cell r="I378">
            <v>47552</v>
          </cell>
        </row>
        <row r="379">
          <cell r="B379" t="str">
            <v>10089139-5</v>
          </cell>
          <cell r="E379">
            <v>48949</v>
          </cell>
          <cell r="G379">
            <v>46393</v>
          </cell>
          <cell r="I379">
            <v>47495</v>
          </cell>
        </row>
        <row r="380">
          <cell r="B380" t="str">
            <v>17012480-4</v>
          </cell>
          <cell r="E380">
            <v>47113</v>
          </cell>
          <cell r="G380">
            <v>46987</v>
          </cell>
          <cell r="I380">
            <v>47567</v>
          </cell>
        </row>
        <row r="381">
          <cell r="B381" t="str">
            <v>17452286-3</v>
          </cell>
          <cell r="E381">
            <v>47517</v>
          </cell>
          <cell r="G381">
            <v>47201</v>
          </cell>
          <cell r="I381">
            <v>46391</v>
          </cell>
        </row>
        <row r="382">
          <cell r="B382" t="str">
            <v>12938244-9</v>
          </cell>
          <cell r="E382">
            <v>48591</v>
          </cell>
          <cell r="G382">
            <v>46745</v>
          </cell>
          <cell r="I382">
            <v>47531</v>
          </cell>
        </row>
        <row r="383">
          <cell r="B383" t="str">
            <v>16053610-1</v>
          </cell>
          <cell r="E383">
            <v>47253</v>
          </cell>
          <cell r="G383">
            <v>46252</v>
          </cell>
          <cell r="I383">
            <v>46330</v>
          </cell>
        </row>
        <row r="384">
          <cell r="B384" t="str">
            <v>17279846-2</v>
          </cell>
          <cell r="E384">
            <v>47434</v>
          </cell>
          <cell r="G384">
            <v>46720</v>
          </cell>
          <cell r="I384">
            <v>47207</v>
          </cell>
        </row>
        <row r="385">
          <cell r="B385" t="str">
            <v>19107900-0</v>
          </cell>
          <cell r="E385">
            <v>46636</v>
          </cell>
          <cell r="G385">
            <v>46248</v>
          </cell>
          <cell r="I385">
            <v>47376</v>
          </cell>
        </row>
        <row r="386">
          <cell r="B386" t="str">
            <v>19694614-4</v>
          </cell>
          <cell r="E386">
            <v>46723</v>
          </cell>
          <cell r="G386">
            <v>46255</v>
          </cell>
          <cell r="I386">
            <v>47377</v>
          </cell>
        </row>
        <row r="387">
          <cell r="B387" t="str">
            <v>17433629-6</v>
          </cell>
          <cell r="E387">
            <v>46228</v>
          </cell>
          <cell r="G387">
            <v>46243</v>
          </cell>
          <cell r="I387">
            <v>47382</v>
          </cell>
        </row>
        <row r="388">
          <cell r="B388" t="str">
            <v>13998064-6</v>
          </cell>
          <cell r="E388">
            <v>47916</v>
          </cell>
          <cell r="G388">
            <v>46401</v>
          </cell>
          <cell r="I388">
            <v>47196</v>
          </cell>
        </row>
        <row r="389">
          <cell r="B389" t="str">
            <v>11435608-5</v>
          </cell>
          <cell r="E389">
            <v>47258</v>
          </cell>
          <cell r="G389">
            <v>46352</v>
          </cell>
          <cell r="I389">
            <v>47231</v>
          </cell>
        </row>
        <row r="390">
          <cell r="B390" t="str">
            <v>19812358-7</v>
          </cell>
          <cell r="E390">
            <v>46638</v>
          </cell>
          <cell r="G390">
            <v>46804</v>
          </cell>
          <cell r="I390">
            <v>47252</v>
          </cell>
        </row>
        <row r="391">
          <cell r="B391" t="str">
            <v>15079810-8</v>
          </cell>
          <cell r="E391">
            <v>46313</v>
          </cell>
          <cell r="G391">
            <v>46375</v>
          </cell>
          <cell r="I391">
            <v>47267</v>
          </cell>
        </row>
        <row r="392">
          <cell r="B392" t="str">
            <v>20348189-6</v>
          </cell>
          <cell r="E392">
            <v>47748</v>
          </cell>
          <cell r="G392">
            <v>47021</v>
          </cell>
          <cell r="I392">
            <v>46452</v>
          </cell>
        </row>
        <row r="393">
          <cell r="B393" t="str">
            <v>21455019-9</v>
          </cell>
          <cell r="E393">
            <v>48909</v>
          </cell>
          <cell r="G393">
            <v>47265</v>
          </cell>
          <cell r="I393">
            <v>46308</v>
          </cell>
        </row>
        <row r="394">
          <cell r="B394" t="str">
            <v>16565390-4</v>
          </cell>
          <cell r="E394">
            <v>46434</v>
          </cell>
          <cell r="G394">
            <v>46549</v>
          </cell>
          <cell r="I394">
            <v>46784</v>
          </cell>
        </row>
        <row r="395">
          <cell r="B395" t="str">
            <v>15337630-1</v>
          </cell>
          <cell r="E395">
            <v>48409</v>
          </cell>
          <cell r="G395">
            <v>46400</v>
          </cell>
          <cell r="I395">
            <v>47019</v>
          </cell>
        </row>
        <row r="396">
          <cell r="B396" t="str">
            <v>14438177-7</v>
          </cell>
          <cell r="E396">
            <v>49364</v>
          </cell>
          <cell r="G396">
            <v>46305</v>
          </cell>
          <cell r="I396">
            <v>46753</v>
          </cell>
        </row>
        <row r="397">
          <cell r="B397" t="str">
            <v>12729916-1</v>
          </cell>
          <cell r="E397">
            <v>49577</v>
          </cell>
          <cell r="G397">
            <v>46646</v>
          </cell>
          <cell r="I397">
            <v>47489</v>
          </cell>
        </row>
        <row r="398">
          <cell r="B398" t="str">
            <v>18972270-2</v>
          </cell>
          <cell r="E398">
            <v>49699</v>
          </cell>
          <cell r="G398">
            <v>47224</v>
          </cell>
          <cell r="I398">
            <v>47262</v>
          </cell>
        </row>
        <row r="399">
          <cell r="B399" t="str">
            <v>10389871-4</v>
          </cell>
          <cell r="E399">
            <v>49761</v>
          </cell>
          <cell r="G399">
            <v>46455</v>
          </cell>
          <cell r="I399">
            <v>46314</v>
          </cell>
        </row>
        <row r="400">
          <cell r="B400" t="str">
            <v>15018619-6</v>
          </cell>
          <cell r="E400">
            <v>48210</v>
          </cell>
          <cell r="G400">
            <v>46268</v>
          </cell>
          <cell r="I400">
            <v>47564</v>
          </cell>
        </row>
        <row r="401">
          <cell r="B401" t="str">
            <v>15615715-5</v>
          </cell>
          <cell r="E401">
            <v>49000</v>
          </cell>
          <cell r="G401" t="str">
            <v>28-05-2028</v>
          </cell>
          <cell r="I401">
            <v>47139</v>
          </cell>
        </row>
        <row r="402">
          <cell r="B402" t="str">
            <v>22474820-5</v>
          </cell>
          <cell r="E402">
            <v>48034</v>
          </cell>
          <cell r="G402">
            <v>46254</v>
          </cell>
          <cell r="I402">
            <v>47418</v>
          </cell>
        </row>
        <row r="403">
          <cell r="B403" t="str">
            <v>18351950-6</v>
          </cell>
          <cell r="E403">
            <v>48539</v>
          </cell>
          <cell r="G403">
            <v>46333</v>
          </cell>
          <cell r="I403">
            <v>47616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Planilla"/>
      <sheetName val="Hoja1"/>
      <sheetName val="Total conductores"/>
      <sheetName val="Datos"/>
      <sheetName val="Hoja2"/>
      <sheetName val="TB"/>
      <sheetName val="TA"/>
      <sheetName val="Nominal"/>
      <sheetName val="ERIC"/>
    </sheetNames>
    <sheetDataSet>
      <sheetData sheetId="0"/>
      <sheetData sheetId="1">
        <row r="3">
          <cell r="C3">
            <v>46177</v>
          </cell>
          <cell r="H3" t="str">
            <v>Documentacion Requerida</v>
          </cell>
        </row>
        <row r="4">
          <cell r="C4" t="str">
            <v>RUT</v>
          </cell>
          <cell r="H4" t="str">
            <v>VENCIMIENTO LICENCIA MUNICIPAL</v>
          </cell>
          <cell r="I4" t="str">
            <v>VENCIMIENTO LICENCIA INTERNA</v>
          </cell>
          <cell r="J4" t="str">
            <v>VENCIMIENTO EXÁMEN PSICOSENSOTÉCNICO</v>
          </cell>
        </row>
        <row r="5">
          <cell r="C5" t="str">
            <v>17392038-5</v>
          </cell>
          <cell r="H5">
            <v>46974</v>
          </cell>
          <cell r="I5">
            <v>46553</v>
          </cell>
          <cell r="J5">
            <v>47338</v>
          </cell>
        </row>
        <row r="6">
          <cell r="C6" t="str">
            <v>17245903-K</v>
          </cell>
          <cell r="H6">
            <v>47934</v>
          </cell>
          <cell r="I6">
            <v>47934</v>
          </cell>
          <cell r="J6">
            <v>47083</v>
          </cell>
        </row>
        <row r="7">
          <cell r="C7" t="str">
            <v>12427793-0</v>
          </cell>
          <cell r="H7">
            <v>47095</v>
          </cell>
          <cell r="I7">
            <v>46205</v>
          </cell>
          <cell r="J7">
            <v>46205</v>
          </cell>
        </row>
        <row r="8">
          <cell r="C8" t="str">
            <v>18125400-9</v>
          </cell>
          <cell r="H8">
            <v>46178</v>
          </cell>
          <cell r="I8">
            <v>46178</v>
          </cell>
          <cell r="J8">
            <v>46308</v>
          </cell>
        </row>
        <row r="9">
          <cell r="C9" t="str">
            <v>19871539-5</v>
          </cell>
          <cell r="H9">
            <v>46806</v>
          </cell>
          <cell r="I9">
            <v>46806</v>
          </cell>
          <cell r="J9">
            <v>47474</v>
          </cell>
        </row>
        <row r="10">
          <cell r="C10" t="str">
            <v>17277568-3</v>
          </cell>
          <cell r="H10">
            <v>46818</v>
          </cell>
          <cell r="I10">
            <v>46818</v>
          </cell>
          <cell r="J10">
            <v>47457</v>
          </cell>
        </row>
        <row r="11">
          <cell r="C11" t="str">
            <v>19467265-9</v>
          </cell>
          <cell r="H11">
            <v>47524</v>
          </cell>
          <cell r="I11">
            <v>47524</v>
          </cell>
          <cell r="J11">
            <v>47323</v>
          </cell>
        </row>
        <row r="12">
          <cell r="C12" t="str">
            <v>12419356-7</v>
          </cell>
          <cell r="H12">
            <v>46755</v>
          </cell>
          <cell r="I12">
            <v>46755</v>
          </cell>
          <cell r="J12">
            <v>47608</v>
          </cell>
        </row>
        <row r="13">
          <cell r="C13" t="str">
            <v>18710278-2</v>
          </cell>
          <cell r="H13">
            <v>46481</v>
          </cell>
          <cell r="I13">
            <v>46481</v>
          </cell>
          <cell r="J13">
            <v>46464</v>
          </cell>
        </row>
        <row r="14">
          <cell r="C14" t="str">
            <v>14568854-K</v>
          </cell>
          <cell r="H14">
            <v>46553</v>
          </cell>
          <cell r="I14">
            <v>46553</v>
          </cell>
          <cell r="J14">
            <v>46330</v>
          </cell>
        </row>
        <row r="15">
          <cell r="C15" t="str">
            <v>20352474-9</v>
          </cell>
          <cell r="H15">
            <v>47401</v>
          </cell>
          <cell r="I15">
            <v>46275</v>
          </cell>
          <cell r="J15">
            <v>46275</v>
          </cell>
        </row>
        <row r="16">
          <cell r="C16" t="str">
            <v>14560342-0</v>
          </cell>
          <cell r="H16">
            <v>47944</v>
          </cell>
          <cell r="I16">
            <v>47944</v>
          </cell>
          <cell r="J16">
            <v>46774</v>
          </cell>
        </row>
        <row r="17">
          <cell r="C17" t="str">
            <v>14382887-5</v>
          </cell>
          <cell r="H17">
            <v>46558</v>
          </cell>
          <cell r="I17">
            <v>46558</v>
          </cell>
          <cell r="J17">
            <v>46295</v>
          </cell>
        </row>
        <row r="18">
          <cell r="C18" t="str">
            <v>17445250-4</v>
          </cell>
          <cell r="H18">
            <v>46572</v>
          </cell>
          <cell r="I18">
            <v>46572</v>
          </cell>
          <cell r="J18">
            <v>47268</v>
          </cell>
        </row>
        <row r="19">
          <cell r="C19" t="str">
            <v>16258823-0</v>
          </cell>
          <cell r="H19">
            <v>46329</v>
          </cell>
          <cell r="I19">
            <v>46329</v>
          </cell>
          <cell r="J19">
            <v>46636</v>
          </cell>
        </row>
        <row r="20">
          <cell r="C20" t="str">
            <v>16602123-5</v>
          </cell>
          <cell r="H20">
            <v>47251</v>
          </cell>
          <cell r="I20">
            <v>47251</v>
          </cell>
          <cell r="J20">
            <v>47405</v>
          </cell>
        </row>
        <row r="21">
          <cell r="C21" t="str">
            <v>19867631-4</v>
          </cell>
          <cell r="H21">
            <v>47587</v>
          </cell>
          <cell r="I21">
            <v>47587</v>
          </cell>
          <cell r="J21">
            <v>46999</v>
          </cell>
        </row>
        <row r="22">
          <cell r="C22" t="str">
            <v>16549827-5</v>
          </cell>
          <cell r="H22">
            <v>46321</v>
          </cell>
          <cell r="I22">
            <v>46321</v>
          </cell>
          <cell r="J22">
            <v>46266</v>
          </cell>
        </row>
        <row r="23">
          <cell r="C23" t="str">
            <v>20751658-9</v>
          </cell>
          <cell r="H23">
            <v>46978</v>
          </cell>
          <cell r="I23">
            <v>46978</v>
          </cell>
          <cell r="J23">
            <v>47019</v>
          </cell>
        </row>
        <row r="24">
          <cell r="C24" t="str">
            <v>17274069-3</v>
          </cell>
          <cell r="H24">
            <v>47269</v>
          </cell>
          <cell r="I24">
            <v>46467</v>
          </cell>
          <cell r="J24">
            <v>47588</v>
          </cell>
        </row>
        <row r="25">
          <cell r="C25" t="str">
            <v>12834811-5</v>
          </cell>
          <cell r="H25">
            <v>46683</v>
          </cell>
          <cell r="I25">
            <v>46683</v>
          </cell>
          <cell r="J25">
            <v>46037</v>
          </cell>
        </row>
        <row r="26">
          <cell r="C26" t="str">
            <v>20274647-0</v>
          </cell>
          <cell r="H26">
            <v>47368</v>
          </cell>
          <cell r="I26">
            <v>47368</v>
          </cell>
          <cell r="J26">
            <v>46320</v>
          </cell>
        </row>
        <row r="27">
          <cell r="C27" t="str">
            <v>17656059-2</v>
          </cell>
          <cell r="H27">
            <v>47615</v>
          </cell>
          <cell r="I27">
            <v>47615</v>
          </cell>
          <cell r="J27">
            <v>46463</v>
          </cell>
        </row>
        <row r="28">
          <cell r="C28" t="str">
            <v>10050588-6</v>
          </cell>
          <cell r="H28">
            <v>46493</v>
          </cell>
          <cell r="I28">
            <v>46493</v>
          </cell>
          <cell r="J28">
            <v>46228</v>
          </cell>
        </row>
        <row r="29">
          <cell r="C29" t="str">
            <v>12729916-1</v>
          </cell>
          <cell r="H29">
            <v>48116</v>
          </cell>
          <cell r="I29">
            <v>46616</v>
          </cell>
          <cell r="J29">
            <v>47377</v>
          </cell>
        </row>
        <row r="30">
          <cell r="C30" t="str">
            <v>11932173-5</v>
          </cell>
          <cell r="H30">
            <v>47611</v>
          </cell>
          <cell r="I30">
            <v>47611</v>
          </cell>
          <cell r="J30">
            <v>46499</v>
          </cell>
        </row>
        <row r="31">
          <cell r="C31" t="str">
            <v>16566699-2</v>
          </cell>
          <cell r="H31">
            <v>46678</v>
          </cell>
          <cell r="I31">
            <v>46678</v>
          </cell>
          <cell r="J31">
            <v>46037</v>
          </cell>
        </row>
        <row r="32">
          <cell r="C32" t="str">
            <v>20260240-1</v>
          </cell>
          <cell r="H32">
            <v>48076</v>
          </cell>
          <cell r="I32">
            <v>48076</v>
          </cell>
          <cell r="J32">
            <v>46198</v>
          </cell>
        </row>
        <row r="33">
          <cell r="C33" t="str">
            <v>15769371-9</v>
          </cell>
          <cell r="H33">
            <v>47258</v>
          </cell>
          <cell r="I33">
            <v>47258</v>
          </cell>
          <cell r="J33">
            <v>47568</v>
          </cell>
        </row>
        <row r="34">
          <cell r="C34" t="str">
            <v>13745129-8</v>
          </cell>
          <cell r="H34">
            <v>46695</v>
          </cell>
          <cell r="I34">
            <v>46695</v>
          </cell>
          <cell r="J34">
            <v>47596</v>
          </cell>
        </row>
        <row r="35">
          <cell r="C35" t="str">
            <v>16352371-K</v>
          </cell>
          <cell r="H35">
            <v>46369</v>
          </cell>
          <cell r="I35">
            <v>46369</v>
          </cell>
          <cell r="J35">
            <v>46499</v>
          </cell>
        </row>
        <row r="36">
          <cell r="C36" t="str">
            <v>17165030-5</v>
          </cell>
          <cell r="H36">
            <v>47397</v>
          </cell>
          <cell r="I36">
            <v>47397</v>
          </cell>
          <cell r="J36">
            <v>46347</v>
          </cell>
        </row>
        <row r="37">
          <cell r="C37" t="str">
            <v>15000986-3</v>
          </cell>
          <cell r="H37">
            <v>46819</v>
          </cell>
          <cell r="I37">
            <v>46819</v>
          </cell>
          <cell r="J37">
            <v>46994</v>
          </cell>
        </row>
        <row r="38">
          <cell r="C38" t="str">
            <v>15947812-2</v>
          </cell>
          <cell r="H38">
            <v>46679</v>
          </cell>
          <cell r="I38">
            <v>46679</v>
          </cell>
          <cell r="J38">
            <v>46307</v>
          </cell>
        </row>
        <row r="39">
          <cell r="C39" t="str">
            <v>17012319-0</v>
          </cell>
          <cell r="H39">
            <v>48460</v>
          </cell>
          <cell r="I39">
            <v>45903</v>
          </cell>
          <cell r="J39">
            <v>45836</v>
          </cell>
        </row>
        <row r="40">
          <cell r="C40" t="str">
            <v>17246344-4</v>
          </cell>
          <cell r="H40">
            <v>46673</v>
          </cell>
          <cell r="I40">
            <v>46673</v>
          </cell>
          <cell r="J40">
            <v>46275</v>
          </cell>
        </row>
        <row r="41">
          <cell r="C41" t="str">
            <v>13535361-2</v>
          </cell>
          <cell r="H41">
            <v>47370</v>
          </cell>
          <cell r="I41">
            <v>47370</v>
          </cell>
          <cell r="J41">
            <v>46505</v>
          </cell>
        </row>
        <row r="42">
          <cell r="C42" t="str">
            <v>17861249-2</v>
          </cell>
          <cell r="H42">
            <v>47414</v>
          </cell>
          <cell r="I42">
            <v>46214</v>
          </cell>
          <cell r="J42">
            <v>46521</v>
          </cell>
        </row>
        <row r="43">
          <cell r="C43" t="str">
            <v>16274559-K</v>
          </cell>
          <cell r="H43">
            <v>46500</v>
          </cell>
          <cell r="I43">
            <v>46438</v>
          </cell>
          <cell r="J43">
            <v>46457</v>
          </cell>
        </row>
        <row r="44">
          <cell r="C44" t="str">
            <v>20381171-3</v>
          </cell>
          <cell r="H44">
            <v>47809</v>
          </cell>
          <cell r="I44">
            <v>47809</v>
          </cell>
          <cell r="J44">
            <v>47170</v>
          </cell>
        </row>
        <row r="45">
          <cell r="C45" t="str">
            <v>19146897-K</v>
          </cell>
          <cell r="H45">
            <v>47220</v>
          </cell>
          <cell r="I45">
            <v>47220</v>
          </cell>
          <cell r="J45">
            <v>47324</v>
          </cell>
        </row>
        <row r="46">
          <cell r="C46" t="str">
            <v>15970156-5</v>
          </cell>
          <cell r="H46">
            <v>47082</v>
          </cell>
          <cell r="I46">
            <v>47082</v>
          </cell>
          <cell r="J46">
            <v>45950</v>
          </cell>
        </row>
        <row r="47">
          <cell r="C47" t="str">
            <v>18002649-5</v>
          </cell>
          <cell r="H47">
            <v>47864</v>
          </cell>
          <cell r="I47">
            <v>46129</v>
          </cell>
          <cell r="J47">
            <v>47490</v>
          </cell>
        </row>
        <row r="48">
          <cell r="C48" t="str">
            <v>13217405-9</v>
          </cell>
          <cell r="H48">
            <v>46718</v>
          </cell>
          <cell r="I48">
            <v>46718</v>
          </cell>
          <cell r="J48">
            <v>46267</v>
          </cell>
        </row>
        <row r="49">
          <cell r="C49" t="str">
            <v>18496680-8</v>
          </cell>
          <cell r="H49">
            <v>47604</v>
          </cell>
          <cell r="I49">
            <v>46275</v>
          </cell>
          <cell r="J49">
            <v>46275</v>
          </cell>
        </row>
        <row r="50">
          <cell r="C50" t="str">
            <v>18125375-4</v>
          </cell>
          <cell r="H50">
            <v>46575</v>
          </cell>
          <cell r="I50">
            <v>46575</v>
          </cell>
          <cell r="J50">
            <v>46247</v>
          </cell>
        </row>
        <row r="51">
          <cell r="C51" t="str">
            <v>12571470-6</v>
          </cell>
          <cell r="H51">
            <v>46764</v>
          </cell>
          <cell r="I51">
            <v>46764</v>
          </cell>
          <cell r="J51">
            <v>46494</v>
          </cell>
        </row>
        <row r="52">
          <cell r="C52" t="str">
            <v>19692071-4</v>
          </cell>
          <cell r="H52">
            <v>46619</v>
          </cell>
          <cell r="I52">
            <v>46619</v>
          </cell>
          <cell r="J52">
            <v>46676</v>
          </cell>
        </row>
        <row r="53">
          <cell r="C53" t="str">
            <v>19968816-2</v>
          </cell>
          <cell r="H53">
            <v>47469</v>
          </cell>
          <cell r="I53">
            <v>46749</v>
          </cell>
          <cell r="J53">
            <v>47580</v>
          </cell>
        </row>
        <row r="54">
          <cell r="C54" t="str">
            <v>13181955-2</v>
          </cell>
          <cell r="H54">
            <v>46251</v>
          </cell>
          <cell r="I54">
            <v>46251</v>
          </cell>
          <cell r="J54">
            <v>46414</v>
          </cell>
        </row>
        <row r="55">
          <cell r="C55" t="str">
            <v>16868973-K</v>
          </cell>
          <cell r="H55">
            <v>46168</v>
          </cell>
          <cell r="I55">
            <v>46168</v>
          </cell>
          <cell r="J55">
            <v>46902</v>
          </cell>
        </row>
        <row r="56">
          <cell r="C56" t="str">
            <v>12832205-1</v>
          </cell>
          <cell r="H56">
            <v>45961</v>
          </cell>
          <cell r="I56">
            <v>45961</v>
          </cell>
          <cell r="J56">
            <v>45851</v>
          </cell>
        </row>
        <row r="57">
          <cell r="C57" t="str">
            <v>17655738-9</v>
          </cell>
          <cell r="H57">
            <v>47435</v>
          </cell>
          <cell r="I57">
            <v>47435</v>
          </cell>
          <cell r="J57">
            <v>47000</v>
          </cell>
        </row>
        <row r="58">
          <cell r="C58" t="str">
            <v>15149160-K</v>
          </cell>
          <cell r="H58">
            <v>48310</v>
          </cell>
          <cell r="I58">
            <v>46823</v>
          </cell>
          <cell r="J58">
            <v>47561</v>
          </cell>
        </row>
        <row r="59">
          <cell r="C59" t="str">
            <v>19979332-2</v>
          </cell>
          <cell r="H59">
            <v>47125</v>
          </cell>
          <cell r="I59">
            <v>47125</v>
          </cell>
          <cell r="J59">
            <v>46424</v>
          </cell>
        </row>
        <row r="60">
          <cell r="C60" t="str">
            <v>18539817-K</v>
          </cell>
          <cell r="H60">
            <v>46579</v>
          </cell>
          <cell r="I60">
            <v>46554</v>
          </cell>
          <cell r="J60">
            <v>47554</v>
          </cell>
        </row>
        <row r="61">
          <cell r="C61" t="str">
            <v>16593690-6</v>
          </cell>
          <cell r="H61">
            <v>47659</v>
          </cell>
          <cell r="I61">
            <v>47659</v>
          </cell>
          <cell r="J61">
            <v>47413</v>
          </cell>
        </row>
        <row r="62">
          <cell r="C62" t="str">
            <v>17421844-7</v>
          </cell>
          <cell r="H62">
            <v>46243</v>
          </cell>
          <cell r="I62">
            <v>46243</v>
          </cell>
          <cell r="J62">
            <v>47187</v>
          </cell>
        </row>
        <row r="63">
          <cell r="C63" t="str">
            <v>13632538-8</v>
          </cell>
          <cell r="H63">
            <v>47129</v>
          </cell>
          <cell r="I63">
            <v>46403</v>
          </cell>
          <cell r="J63">
            <v>46479</v>
          </cell>
        </row>
        <row r="64">
          <cell r="C64" t="str">
            <v>17902362-8</v>
          </cell>
          <cell r="H64">
            <v>46638</v>
          </cell>
          <cell r="I64">
            <v>46638</v>
          </cell>
          <cell r="J64">
            <v>46946</v>
          </cell>
        </row>
        <row r="65">
          <cell r="C65" t="str">
            <v>12947052-6</v>
          </cell>
          <cell r="H65">
            <v>47627</v>
          </cell>
          <cell r="I65">
            <v>46166</v>
          </cell>
          <cell r="J65">
            <v>46288</v>
          </cell>
        </row>
        <row r="66">
          <cell r="C66" t="str">
            <v>14535481-1</v>
          </cell>
          <cell r="H66">
            <v>47365</v>
          </cell>
          <cell r="I66">
            <v>47365</v>
          </cell>
          <cell r="J66">
            <v>46294</v>
          </cell>
        </row>
        <row r="67">
          <cell r="C67" t="str">
            <v>13213836-2</v>
          </cell>
          <cell r="H67">
            <v>47485</v>
          </cell>
          <cell r="I67">
            <v>46242</v>
          </cell>
          <cell r="J67">
            <v>46242</v>
          </cell>
        </row>
        <row r="68">
          <cell r="C68" t="str">
            <v>17867062-K</v>
          </cell>
          <cell r="H68">
            <v>46402</v>
          </cell>
          <cell r="I68">
            <v>46402</v>
          </cell>
          <cell r="J68">
            <v>47211</v>
          </cell>
        </row>
        <row r="69">
          <cell r="C69" t="str">
            <v>18343068-8</v>
          </cell>
          <cell r="H69">
            <v>46449</v>
          </cell>
          <cell r="I69">
            <v>46449</v>
          </cell>
          <cell r="J69">
            <v>46281</v>
          </cell>
        </row>
        <row r="70">
          <cell r="C70" t="str">
            <v>15220906-1</v>
          </cell>
          <cell r="H70">
            <v>47235</v>
          </cell>
          <cell r="I70">
            <v>47235</v>
          </cell>
          <cell r="J70">
            <v>47132</v>
          </cell>
        </row>
        <row r="71">
          <cell r="C71" t="str">
            <v>21140103-6</v>
          </cell>
          <cell r="H71">
            <v>46661</v>
          </cell>
          <cell r="I71">
            <v>46661</v>
          </cell>
          <cell r="J71">
            <v>47007</v>
          </cell>
        </row>
        <row r="72">
          <cell r="C72" t="str">
            <v>19398640-4</v>
          </cell>
          <cell r="H72">
            <v>46330</v>
          </cell>
          <cell r="I72">
            <v>46330</v>
          </cell>
          <cell r="J72">
            <v>47352</v>
          </cell>
        </row>
        <row r="73">
          <cell r="C73" t="str">
            <v>21012980-4</v>
          </cell>
          <cell r="H73">
            <v>47192</v>
          </cell>
          <cell r="I73">
            <v>46540</v>
          </cell>
          <cell r="J73">
            <v>47187</v>
          </cell>
        </row>
        <row r="74">
          <cell r="C74" t="str">
            <v>12210034-0</v>
          </cell>
          <cell r="H74">
            <v>47190</v>
          </cell>
          <cell r="I74">
            <v>47190</v>
          </cell>
          <cell r="J74">
            <v>46266</v>
          </cell>
        </row>
        <row r="75">
          <cell r="C75" t="str">
            <v>17092538-6</v>
          </cell>
          <cell r="H75">
            <v>47724</v>
          </cell>
          <cell r="I75">
            <v>46372</v>
          </cell>
          <cell r="J75">
            <v>47301</v>
          </cell>
        </row>
        <row r="76">
          <cell r="C76" t="str">
            <v>18827199-5</v>
          </cell>
          <cell r="H76">
            <v>47221</v>
          </cell>
          <cell r="I76">
            <v>47221</v>
          </cell>
          <cell r="J76">
            <v>47593</v>
          </cell>
        </row>
        <row r="77">
          <cell r="C77" t="str">
            <v>15947993-5</v>
          </cell>
          <cell r="H77">
            <v>46332</v>
          </cell>
          <cell r="I77">
            <v>46332</v>
          </cell>
          <cell r="J77">
            <v>46192</v>
          </cell>
        </row>
        <row r="78">
          <cell r="C78" t="str">
            <v>19552493-9</v>
          </cell>
          <cell r="H78">
            <v>46764</v>
          </cell>
          <cell r="I78">
            <v>46764</v>
          </cell>
          <cell r="J78">
            <v>47464</v>
          </cell>
        </row>
        <row r="79">
          <cell r="C79" t="str">
            <v>8265686-3</v>
          </cell>
          <cell r="H79">
            <v>46976</v>
          </cell>
          <cell r="I79">
            <v>46976</v>
          </cell>
          <cell r="J79">
            <v>46491</v>
          </cell>
        </row>
        <row r="80">
          <cell r="C80" t="str">
            <v>15710636-8</v>
          </cell>
          <cell r="H80">
            <v>47697</v>
          </cell>
          <cell r="I80">
            <v>46268</v>
          </cell>
          <cell r="J80">
            <v>46317</v>
          </cell>
        </row>
        <row r="81">
          <cell r="C81" t="str">
            <v>17737054-1</v>
          </cell>
          <cell r="H81">
            <v>46360</v>
          </cell>
          <cell r="I81">
            <v>46360</v>
          </cell>
          <cell r="J81">
            <v>46199</v>
          </cell>
        </row>
        <row r="82">
          <cell r="C82" t="str">
            <v>9133711-8</v>
          </cell>
          <cell r="H82">
            <v>47873</v>
          </cell>
          <cell r="I82">
            <v>46575</v>
          </cell>
          <cell r="J82">
            <v>46902</v>
          </cell>
        </row>
        <row r="83">
          <cell r="C83" t="str">
            <v>18371885-1</v>
          </cell>
          <cell r="H83">
            <v>46392</v>
          </cell>
          <cell r="I83">
            <v>46392</v>
          </cell>
          <cell r="J83">
            <v>47505</v>
          </cell>
        </row>
        <row r="84">
          <cell r="C84" t="str">
            <v>13172480-2</v>
          </cell>
          <cell r="H84">
            <v>46643</v>
          </cell>
          <cell r="I84">
            <v>46643</v>
          </cell>
          <cell r="J84">
            <v>46315</v>
          </cell>
        </row>
        <row r="85">
          <cell r="C85" t="str">
            <v>18943848-6</v>
          </cell>
          <cell r="H85">
            <v>48189</v>
          </cell>
          <cell r="I85">
            <v>46170</v>
          </cell>
          <cell r="J85">
            <v>46170</v>
          </cell>
        </row>
        <row r="86">
          <cell r="C86" t="str">
            <v>16829133-7</v>
          </cell>
          <cell r="H86">
            <v>46240</v>
          </cell>
          <cell r="I86">
            <v>46240</v>
          </cell>
          <cell r="J86">
            <v>46516</v>
          </cell>
        </row>
        <row r="87">
          <cell r="C87" t="str">
            <v>11101351-9</v>
          </cell>
          <cell r="H87">
            <v>47224</v>
          </cell>
          <cell r="I87">
            <v>46358</v>
          </cell>
          <cell r="J87">
            <v>47216</v>
          </cell>
        </row>
        <row r="88">
          <cell r="C88" t="str">
            <v>9941712-9</v>
          </cell>
          <cell r="H88">
            <v>46682</v>
          </cell>
          <cell r="I88">
            <v>46682</v>
          </cell>
          <cell r="J88">
            <v>46438</v>
          </cell>
        </row>
        <row r="89">
          <cell r="C89" t="str">
            <v>16239458-4</v>
          </cell>
          <cell r="H89">
            <v>47628</v>
          </cell>
          <cell r="I89">
            <v>47628</v>
          </cell>
          <cell r="J89">
            <v>47421</v>
          </cell>
        </row>
        <row r="90">
          <cell r="C90" t="str">
            <v>18483911-3</v>
          </cell>
          <cell r="H90">
            <v>47570</v>
          </cell>
          <cell r="I90">
            <v>47570</v>
          </cell>
          <cell r="J90">
            <v>46198</v>
          </cell>
        </row>
        <row r="91">
          <cell r="C91" t="str">
            <v>17392858-0</v>
          </cell>
          <cell r="H91">
            <v>46065</v>
          </cell>
          <cell r="I91">
            <v>46065</v>
          </cell>
          <cell r="J91">
            <v>46686</v>
          </cell>
        </row>
        <row r="92">
          <cell r="C92" t="str">
            <v>20352192-8</v>
          </cell>
          <cell r="H92">
            <v>46778</v>
          </cell>
          <cell r="I92">
            <v>46778</v>
          </cell>
          <cell r="J92">
            <v>47296</v>
          </cell>
        </row>
        <row r="93">
          <cell r="C93" t="str">
            <v>23692021-6</v>
          </cell>
          <cell r="H93">
            <v>46928</v>
          </cell>
          <cell r="I93">
            <v>46928</v>
          </cell>
          <cell r="J93">
            <v>47210</v>
          </cell>
        </row>
        <row r="94">
          <cell r="C94" t="str">
            <v>19824676-K</v>
          </cell>
          <cell r="H94">
            <v>47413</v>
          </cell>
          <cell r="I94">
            <v>47413</v>
          </cell>
          <cell r="J94">
            <v>46116</v>
          </cell>
        </row>
        <row r="95">
          <cell r="C95" t="str">
            <v>19664545-4</v>
          </cell>
          <cell r="H95">
            <v>46222</v>
          </cell>
          <cell r="I95">
            <v>46176</v>
          </cell>
          <cell r="J95">
            <v>46312</v>
          </cell>
        </row>
        <row r="96">
          <cell r="C96" t="str">
            <v>19104562-9</v>
          </cell>
          <cell r="H96">
            <v>47206</v>
          </cell>
          <cell r="I96">
            <v>47206</v>
          </cell>
          <cell r="J96">
            <v>47288</v>
          </cell>
        </row>
        <row r="97">
          <cell r="C97" t="str">
            <v>18124985-4</v>
          </cell>
          <cell r="H97">
            <v>46930</v>
          </cell>
          <cell r="I97">
            <v>46507</v>
          </cell>
          <cell r="J97">
            <v>46507</v>
          </cell>
        </row>
        <row r="98">
          <cell r="C98" t="str">
            <v>19373808-7</v>
          </cell>
          <cell r="H98">
            <v>46906</v>
          </cell>
          <cell r="I98">
            <v>46906</v>
          </cell>
          <cell r="J98">
            <v>47229</v>
          </cell>
        </row>
        <row r="99">
          <cell r="C99" t="str">
            <v>17656770-8</v>
          </cell>
          <cell r="H99">
            <v>46323</v>
          </cell>
          <cell r="I99">
            <v>46323</v>
          </cell>
          <cell r="J99">
            <v>46205</v>
          </cell>
        </row>
        <row r="100">
          <cell r="C100" t="str">
            <v>10220933-8</v>
          </cell>
          <cell r="H100">
            <v>47451</v>
          </cell>
          <cell r="I100">
            <v>46433</v>
          </cell>
          <cell r="J100">
            <v>46492</v>
          </cell>
        </row>
        <row r="101">
          <cell r="C101" t="str">
            <v>17163244-7</v>
          </cell>
          <cell r="H101">
            <v>48477</v>
          </cell>
          <cell r="I101">
            <v>48477</v>
          </cell>
          <cell r="J101">
            <v>46593</v>
          </cell>
        </row>
        <row r="102">
          <cell r="C102" t="str">
            <v>25001170-9</v>
          </cell>
          <cell r="H102">
            <v>46243</v>
          </cell>
          <cell r="I102">
            <v>46243</v>
          </cell>
          <cell r="J102">
            <v>46288</v>
          </cell>
        </row>
        <row r="103">
          <cell r="C103" t="str">
            <v>17284691-2</v>
          </cell>
          <cell r="H103">
            <v>46472</v>
          </cell>
          <cell r="I103">
            <v>46472</v>
          </cell>
          <cell r="J103">
            <v>46429</v>
          </cell>
        </row>
        <row r="104">
          <cell r="C104" t="str">
            <v>16591798-7</v>
          </cell>
          <cell r="H104">
            <v>45973</v>
          </cell>
          <cell r="I104">
            <v>45973</v>
          </cell>
          <cell r="J104">
            <v>46170</v>
          </cell>
        </row>
        <row r="105">
          <cell r="C105" t="str">
            <v>16466823-1</v>
          </cell>
          <cell r="H105">
            <v>46614</v>
          </cell>
          <cell r="I105">
            <v>46614</v>
          </cell>
          <cell r="J105">
            <v>46437</v>
          </cell>
        </row>
        <row r="106">
          <cell r="C106" t="str">
            <v>10649920-9</v>
          </cell>
          <cell r="H106">
            <v>47410</v>
          </cell>
          <cell r="I106">
            <v>47410</v>
          </cell>
          <cell r="J106">
            <v>46297</v>
          </cell>
        </row>
        <row r="107">
          <cell r="C107" t="str">
            <v>15015302-6</v>
          </cell>
          <cell r="H107">
            <v>46713</v>
          </cell>
          <cell r="I107">
            <v>46713</v>
          </cell>
          <cell r="J107">
            <v>46359</v>
          </cell>
        </row>
        <row r="108">
          <cell r="C108" t="str">
            <v>19099699-9</v>
          </cell>
          <cell r="H108">
            <v>46405</v>
          </cell>
          <cell r="I108">
            <v>46405</v>
          </cell>
          <cell r="J108">
            <v>46325</v>
          </cell>
        </row>
        <row r="109">
          <cell r="C109" t="str">
            <v>15733220-1</v>
          </cell>
          <cell r="H109">
            <v>47320</v>
          </cell>
          <cell r="I109">
            <v>47320</v>
          </cell>
          <cell r="J109">
            <v>46205</v>
          </cell>
        </row>
        <row r="110">
          <cell r="C110" t="str">
            <v>18972102-1</v>
          </cell>
          <cell r="H110">
            <v>46669</v>
          </cell>
          <cell r="I110">
            <v>46669</v>
          </cell>
          <cell r="J110">
            <v>47371</v>
          </cell>
        </row>
        <row r="111">
          <cell r="C111" t="str">
            <v>12607702-5</v>
          </cell>
          <cell r="H111">
            <v>47440</v>
          </cell>
          <cell r="I111">
            <v>47440</v>
          </cell>
          <cell r="J111">
            <v>46334</v>
          </cell>
        </row>
        <row r="112">
          <cell r="C112" t="str">
            <v>18125852-7</v>
          </cell>
          <cell r="H112">
            <v>47416</v>
          </cell>
          <cell r="I112">
            <v>46197</v>
          </cell>
          <cell r="J112">
            <v>46197</v>
          </cell>
        </row>
        <row r="113">
          <cell r="C113" t="str">
            <v>22856322-6</v>
          </cell>
          <cell r="H113">
            <v>47406</v>
          </cell>
          <cell r="I113">
            <v>47406</v>
          </cell>
          <cell r="J113">
            <v>46575</v>
          </cell>
        </row>
        <row r="114">
          <cell r="C114" t="str">
            <v>19505098-8</v>
          </cell>
          <cell r="H114">
            <v>46294</v>
          </cell>
          <cell r="I114">
            <v>46294</v>
          </cell>
          <cell r="J114">
            <v>46587</v>
          </cell>
        </row>
        <row r="115">
          <cell r="C115" t="str">
            <v>17536144-8</v>
          </cell>
          <cell r="H115">
            <v>46411</v>
          </cell>
          <cell r="I115">
            <v>46411</v>
          </cell>
          <cell r="J115">
            <v>46261</v>
          </cell>
        </row>
        <row r="116">
          <cell r="C116" t="str">
            <v>19432300-K</v>
          </cell>
          <cell r="H116">
            <v>46178</v>
          </cell>
          <cell r="I116">
            <v>46178</v>
          </cell>
          <cell r="J116">
            <v>47042</v>
          </cell>
        </row>
        <row r="117">
          <cell r="C117" t="str">
            <v>16565053-0</v>
          </cell>
          <cell r="H117">
            <v>46295</v>
          </cell>
          <cell r="I117">
            <v>46295</v>
          </cell>
          <cell r="J117">
            <v>46295</v>
          </cell>
        </row>
        <row r="118">
          <cell r="C118" t="str">
            <v>10920581-8</v>
          </cell>
          <cell r="H118">
            <v>46815</v>
          </cell>
          <cell r="I118">
            <v>46568</v>
          </cell>
          <cell r="J118">
            <v>47160</v>
          </cell>
        </row>
        <row r="119">
          <cell r="C119" t="str">
            <v>14393784-4</v>
          </cell>
          <cell r="H119">
            <v>46580</v>
          </cell>
          <cell r="I119">
            <v>46580</v>
          </cell>
          <cell r="J119">
            <v>46064</v>
          </cell>
        </row>
        <row r="120">
          <cell r="C120" t="str">
            <v>19205023-5</v>
          </cell>
          <cell r="H120">
            <v>46670</v>
          </cell>
          <cell r="I120">
            <v>46670</v>
          </cell>
          <cell r="J120">
            <v>47308</v>
          </cell>
        </row>
        <row r="121">
          <cell r="C121" t="str">
            <v>18521278-5</v>
          </cell>
          <cell r="H121">
            <v>47175</v>
          </cell>
          <cell r="I121">
            <v>47175</v>
          </cell>
          <cell r="J121">
            <v>46325</v>
          </cell>
        </row>
        <row r="122">
          <cell r="C122" t="str">
            <v>18520943-1</v>
          </cell>
          <cell r="H122">
            <v>47412</v>
          </cell>
          <cell r="I122">
            <v>47412</v>
          </cell>
          <cell r="J122">
            <v>46189</v>
          </cell>
        </row>
        <row r="123">
          <cell r="C123" t="str">
            <v>16493030-0</v>
          </cell>
          <cell r="H123">
            <v>48253</v>
          </cell>
          <cell r="I123">
            <v>46624</v>
          </cell>
          <cell r="J123">
            <v>47383</v>
          </cell>
        </row>
        <row r="124">
          <cell r="C124" t="str">
            <v>18125329-0</v>
          </cell>
          <cell r="H124">
            <v>46521</v>
          </cell>
          <cell r="I124">
            <v>46521</v>
          </cell>
          <cell r="J124">
            <v>47371</v>
          </cell>
        </row>
        <row r="125">
          <cell r="C125" t="str">
            <v>18868638-9</v>
          </cell>
          <cell r="H125">
            <v>46482</v>
          </cell>
          <cell r="I125">
            <v>46482</v>
          </cell>
          <cell r="J125">
            <v>47295</v>
          </cell>
        </row>
        <row r="126">
          <cell r="C126" t="str">
            <v>13417664-4</v>
          </cell>
          <cell r="H126">
            <v>47667</v>
          </cell>
          <cell r="I126">
            <v>46330</v>
          </cell>
          <cell r="J126">
            <v>47313</v>
          </cell>
        </row>
        <row r="127">
          <cell r="C127" t="str">
            <v>13176816-8</v>
          </cell>
          <cell r="H127">
            <v>46271</v>
          </cell>
          <cell r="I127">
            <v>46218</v>
          </cell>
          <cell r="J127">
            <v>46444</v>
          </cell>
        </row>
        <row r="128">
          <cell r="C128" t="str">
            <v>14601156-K</v>
          </cell>
          <cell r="H128">
            <v>46780</v>
          </cell>
          <cell r="I128">
            <v>45685</v>
          </cell>
          <cell r="J128">
            <v>46499</v>
          </cell>
        </row>
        <row r="129">
          <cell r="C129" t="str">
            <v>13358502-8</v>
          </cell>
          <cell r="H129">
            <v>47270</v>
          </cell>
          <cell r="I129">
            <v>47270</v>
          </cell>
          <cell r="J129">
            <v>46373</v>
          </cell>
        </row>
        <row r="130">
          <cell r="C130" t="str">
            <v>13632774-7</v>
          </cell>
          <cell r="H130">
            <v>47547</v>
          </cell>
          <cell r="I130">
            <v>46537</v>
          </cell>
          <cell r="J130">
            <v>47520</v>
          </cell>
        </row>
        <row r="131">
          <cell r="C131" t="str">
            <v>14104128-2</v>
          </cell>
          <cell r="H131">
            <v>46581</v>
          </cell>
          <cell r="I131">
            <v>46410</v>
          </cell>
          <cell r="J131">
            <v>46520</v>
          </cell>
        </row>
        <row r="132">
          <cell r="C132" t="str">
            <v>19206141-5</v>
          </cell>
          <cell r="H132">
            <v>46559</v>
          </cell>
          <cell r="I132">
            <v>46559</v>
          </cell>
          <cell r="J132">
            <v>46330</v>
          </cell>
        </row>
        <row r="133">
          <cell r="C133" t="str">
            <v>19352615-2</v>
          </cell>
          <cell r="H133">
            <v>47556</v>
          </cell>
          <cell r="I133">
            <v>47556</v>
          </cell>
          <cell r="J133">
            <v>46545</v>
          </cell>
        </row>
        <row r="134">
          <cell r="C134" t="str">
            <v>16062651-8</v>
          </cell>
          <cell r="H134">
            <v>47351</v>
          </cell>
          <cell r="I134">
            <v>47351</v>
          </cell>
          <cell r="J134">
            <v>46557</v>
          </cell>
        </row>
        <row r="135">
          <cell r="C135" t="str">
            <v>20274683-7</v>
          </cell>
          <cell r="H135">
            <v>46281</v>
          </cell>
          <cell r="I135">
            <v>46206</v>
          </cell>
          <cell r="J135">
            <v>47342</v>
          </cell>
        </row>
        <row r="136">
          <cell r="C136" t="str">
            <v>17528299-8</v>
          </cell>
          <cell r="H136">
            <v>46966</v>
          </cell>
          <cell r="I136">
            <v>46966</v>
          </cell>
          <cell r="J136">
            <v>47279</v>
          </cell>
        </row>
        <row r="137">
          <cell r="C137" t="str">
            <v>17126398-0</v>
          </cell>
          <cell r="H137">
            <v>46585</v>
          </cell>
          <cell r="I137">
            <v>46585</v>
          </cell>
          <cell r="J137">
            <v>46203</v>
          </cell>
        </row>
        <row r="138">
          <cell r="C138" t="str">
            <v>17172507-0</v>
          </cell>
          <cell r="H138">
            <v>46952</v>
          </cell>
          <cell r="I138">
            <v>46952</v>
          </cell>
          <cell r="J138">
            <v>47373</v>
          </cell>
        </row>
        <row r="139">
          <cell r="C139" t="str">
            <v>17392012-1</v>
          </cell>
          <cell r="H139">
            <v>46249</v>
          </cell>
          <cell r="I139">
            <v>46249</v>
          </cell>
          <cell r="J139">
            <v>46805</v>
          </cell>
        </row>
        <row r="140">
          <cell r="C140" t="str">
            <v>17846810-3</v>
          </cell>
          <cell r="H140">
            <v>47572</v>
          </cell>
          <cell r="I140">
            <v>47572</v>
          </cell>
          <cell r="J140">
            <v>46196</v>
          </cell>
        </row>
        <row r="141">
          <cell r="C141" t="str">
            <v>16785107-K</v>
          </cell>
          <cell r="H141">
            <v>46219</v>
          </cell>
          <cell r="I141">
            <v>46219</v>
          </cell>
          <cell r="J141">
            <v>46196</v>
          </cell>
        </row>
        <row r="142">
          <cell r="C142" t="str">
            <v>17744634-3</v>
          </cell>
          <cell r="H142">
            <v>47024</v>
          </cell>
          <cell r="I142">
            <v>47024</v>
          </cell>
          <cell r="J142">
            <v>46630</v>
          </cell>
        </row>
        <row r="143">
          <cell r="C143" t="str">
            <v>14581463-4</v>
          </cell>
          <cell r="H143">
            <v>46247</v>
          </cell>
          <cell r="I143">
            <v>46247</v>
          </cell>
          <cell r="J143">
            <v>46192</v>
          </cell>
        </row>
        <row r="144">
          <cell r="C144" t="str">
            <v>17092818-0</v>
          </cell>
          <cell r="H144">
            <v>46682</v>
          </cell>
          <cell r="I144">
            <v>46288</v>
          </cell>
          <cell r="J144">
            <v>46504</v>
          </cell>
        </row>
        <row r="145">
          <cell r="C145" t="str">
            <v>14108909-9</v>
          </cell>
          <cell r="H145">
            <v>46466</v>
          </cell>
          <cell r="I145">
            <v>46466</v>
          </cell>
          <cell r="J145">
            <v>46464</v>
          </cell>
        </row>
        <row r="146">
          <cell r="C146" t="str">
            <v>17655977-2</v>
          </cell>
          <cell r="H146">
            <v>47933</v>
          </cell>
          <cell r="I146">
            <v>47933</v>
          </cell>
          <cell r="J146">
            <v>46407</v>
          </cell>
        </row>
        <row r="147">
          <cell r="C147" t="str">
            <v>18183181-2</v>
          </cell>
          <cell r="H147">
            <v>48023</v>
          </cell>
          <cell r="I147">
            <v>48023</v>
          </cell>
          <cell r="J147">
            <v>47440</v>
          </cell>
        </row>
        <row r="148">
          <cell r="C148" t="str">
            <v>13743525-K</v>
          </cell>
          <cell r="H148">
            <v>48052</v>
          </cell>
          <cell r="I148">
            <v>48052</v>
          </cell>
          <cell r="J148">
            <v>47307</v>
          </cell>
        </row>
        <row r="149">
          <cell r="C149" t="str">
            <v>17018417-3</v>
          </cell>
          <cell r="H149">
            <v>47035</v>
          </cell>
          <cell r="I149">
            <v>47035</v>
          </cell>
          <cell r="J149">
            <v>46734</v>
          </cell>
        </row>
        <row r="150">
          <cell r="C150" t="str">
            <v>17828739-7</v>
          </cell>
          <cell r="H150">
            <v>46708</v>
          </cell>
          <cell r="I150">
            <v>46708</v>
          </cell>
          <cell r="J150">
            <v>47385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emaforo"/>
      <sheetName val="Reporte"/>
      <sheetName val="Calendario"/>
      <sheetName val="Matriz"/>
      <sheetName val="EVA. DESEMPEÑO"/>
      <sheetName val="Evento Legal"/>
      <sheetName val="Programa Cursos"/>
      <sheetName val="% PDC"/>
      <sheetName val="PDC"/>
      <sheetName val="MALLA"/>
      <sheetName val="Sar"/>
    </sheetNames>
    <sheetDataSet>
      <sheetData sheetId="0"/>
      <sheetData sheetId="1"/>
      <sheetData sheetId="2"/>
      <sheetData sheetId="3">
        <row r="1">
          <cell r="E1" t="str">
            <v>RUT (CFK)</v>
          </cell>
          <cell r="J1" t="str">
            <v>E-MAIL</v>
          </cell>
          <cell r="FD1" t="str">
            <v>FECHA REVISIÓN SODI</v>
          </cell>
          <cell r="FF1" t="str">
            <v>FECHA REVISIÓN TECNICO HIDRAULICO</v>
          </cell>
          <cell r="GT1" t="str">
            <v>LICENCIA DE CONDUCIR</v>
          </cell>
        </row>
        <row r="2">
          <cell r="E2" t="str">
            <v>21.012.980-4</v>
          </cell>
          <cell r="J2" t="str">
            <v>abraham.huagama@global.komatsu</v>
          </cell>
          <cell r="GT2" t="str">
            <v>B - D</v>
          </cell>
        </row>
        <row r="3">
          <cell r="E3" t="str">
            <v>21.905.795-4</v>
          </cell>
          <cell r="J3" t="str">
            <v>abraham.rojas.g@global.komatsu</v>
          </cell>
          <cell r="GT3" t="str">
            <v/>
          </cell>
        </row>
        <row r="4">
          <cell r="E4" t="str">
            <v>18.580.352-K</v>
          </cell>
          <cell r="J4" t="str">
            <v>aixa.ferrari.g@global.komatsu</v>
          </cell>
          <cell r="GT4" t="str">
            <v/>
          </cell>
        </row>
        <row r="5">
          <cell r="E5" t="str">
            <v>21.402.715-1</v>
          </cell>
          <cell r="J5" t="str">
            <v>alejandro.arancibia.c@global.komatsu</v>
          </cell>
          <cell r="GT5" t="str">
            <v/>
          </cell>
        </row>
        <row r="6">
          <cell r="E6" t="str">
            <v>19.899.407-3</v>
          </cell>
          <cell r="J6" t="str">
            <v>alejandro.arancibia@cummins.cl</v>
          </cell>
          <cell r="GT6" t="str">
            <v>Sin licencia - Sin licencia - Sin licencia</v>
          </cell>
        </row>
        <row r="7">
          <cell r="E7" t="str">
            <v>20.221.374-k</v>
          </cell>
          <cell r="J7" t="str">
            <v>alejandro.suniga.r@global.komatsu</v>
          </cell>
          <cell r="GT7" t="str">
            <v/>
          </cell>
        </row>
        <row r="8">
          <cell r="E8" t="str">
            <v>18.703.725-5</v>
          </cell>
          <cell r="J8" t="str">
            <v>alejandro.torres.s@global.komatsu</v>
          </cell>
          <cell r="GT8" t="str">
            <v/>
          </cell>
        </row>
        <row r="9">
          <cell r="E9" t="str">
            <v>14.108.909-9</v>
          </cell>
          <cell r="J9" t="str">
            <v>alejandro.vargas@global.komatsu</v>
          </cell>
          <cell r="GT9" t="str">
            <v>B - D - A4</v>
          </cell>
        </row>
        <row r="10">
          <cell r="E10" t="str">
            <v>10.220.933-8</v>
          </cell>
          <cell r="J10" t="str">
            <v>alex.munoz.o@global.komatsu</v>
          </cell>
          <cell r="FF10">
            <v>46388</v>
          </cell>
          <cell r="GT10" t="str">
            <v>B - D</v>
          </cell>
        </row>
        <row r="11">
          <cell r="E11" t="str">
            <v>21.378.162-6</v>
          </cell>
          <cell r="J11" t="str">
            <v>alexander.rojas@global.komatsu</v>
          </cell>
          <cell r="FF11">
            <v>45750</v>
          </cell>
          <cell r="GT11" t="str">
            <v/>
          </cell>
        </row>
        <row r="12">
          <cell r="E12" t="str">
            <v>15.220.906-1</v>
          </cell>
          <cell r="J12" t="str">
            <v>alexis.herrera@global.komatsu</v>
          </cell>
          <cell r="GT12" t="str">
            <v>B - D - A4</v>
          </cell>
        </row>
        <row r="13">
          <cell r="E13" t="str">
            <v>13.743.525-K</v>
          </cell>
          <cell r="J13" t="str">
            <v>alexis.villagran@global.komatsu</v>
          </cell>
          <cell r="GT13" t="str">
            <v>B</v>
          </cell>
        </row>
        <row r="14">
          <cell r="E14" t="str">
            <v>18.868.638-9</v>
          </cell>
          <cell r="J14" t="str">
            <v>allan.rojas@global.komatsu</v>
          </cell>
          <cell r="FF14">
            <v>46388</v>
          </cell>
          <cell r="GT14" t="str">
            <v>B</v>
          </cell>
        </row>
        <row r="15">
          <cell r="E15" t="str">
            <v>13.535.361-2</v>
          </cell>
          <cell r="J15" t="str">
            <v>alvaro.carvajal@global.komatsu</v>
          </cell>
          <cell r="FD15">
            <v>46388</v>
          </cell>
          <cell r="FF15">
            <v>46388</v>
          </cell>
          <cell r="GT15" t="str">
            <v>B - D - A4</v>
          </cell>
        </row>
        <row r="16">
          <cell r="E16" t="str">
            <v>19.146.897-K</v>
          </cell>
          <cell r="J16" t="str">
            <v>alvaro.colina@global.komatsu</v>
          </cell>
          <cell r="FF16">
            <v>46388</v>
          </cell>
          <cell r="GT16" t="str">
            <v>B - D - A4</v>
          </cell>
        </row>
        <row r="17">
          <cell r="E17" t="str">
            <v>15.000.869-7</v>
          </cell>
          <cell r="J17" t="str">
            <v>andrea.moya@global.komatsu</v>
          </cell>
          <cell r="GT17" t="str">
            <v/>
          </cell>
        </row>
        <row r="18">
          <cell r="E18" t="str">
            <v>18.125.400-9</v>
          </cell>
          <cell r="J18" t="str">
            <v>andres.aguilera@global.komatsu</v>
          </cell>
          <cell r="GT18" t="str">
            <v>B - D</v>
          </cell>
        </row>
        <row r="19">
          <cell r="E19" t="str">
            <v>17.867.062-K</v>
          </cell>
          <cell r="J19" t="str">
            <v>andres.gutierrez.v@global.komatsu</v>
          </cell>
          <cell r="GT19" t="str">
            <v>B - D</v>
          </cell>
        </row>
        <row r="20">
          <cell r="E20" t="str">
            <v>18.482.647-K</v>
          </cell>
          <cell r="J20" t="str">
            <v>andres.ocayo@global.komatsu</v>
          </cell>
          <cell r="GT20" t="str">
            <v/>
          </cell>
        </row>
        <row r="21">
          <cell r="E21" t="str">
            <v>20.093.585-3</v>
          </cell>
          <cell r="J21" t="str">
            <v>j.astudillo@cummins.cl</v>
          </cell>
          <cell r="GT21" t="str">
            <v>Sin licencia - Sin licencia - Sin licencia</v>
          </cell>
        </row>
        <row r="22">
          <cell r="E22" t="str">
            <v>17.655.883-0</v>
          </cell>
          <cell r="J22" t="str">
            <v>angelo.gajardo@global.komatsu</v>
          </cell>
          <cell r="GT22" t="str">
            <v/>
          </cell>
        </row>
        <row r="23">
          <cell r="E23" t="str">
            <v>17.974.015-k</v>
          </cell>
          <cell r="J23" t="str">
            <v>angelo.segovia@global.komatsu</v>
          </cell>
          <cell r="GT23" t="str">
            <v>B</v>
          </cell>
        </row>
        <row r="24">
          <cell r="E24" t="str">
            <v>13.172.480-2</v>
          </cell>
          <cell r="J24" t="str">
            <v>ariel.maluenda@global.komatsu</v>
          </cell>
          <cell r="GT24" t="str">
            <v>B - D - A4</v>
          </cell>
        </row>
        <row r="25">
          <cell r="E25" t="str">
            <v>16.493.030-0</v>
          </cell>
          <cell r="J25" t="str">
            <v>ariel.rivera.v@global.komatsu</v>
          </cell>
          <cell r="GT25" t="str">
            <v/>
          </cell>
        </row>
        <row r="26">
          <cell r="E26" t="str">
            <v>17.392.012-1</v>
          </cell>
          <cell r="J26" t="str">
            <v>arturo.tapia@global.komatsu</v>
          </cell>
          <cell r="GT26" t="str">
            <v/>
          </cell>
        </row>
        <row r="27">
          <cell r="E27" t="str">
            <v>19.463.442-0</v>
          </cell>
          <cell r="J27" t="str">
            <v>bastian.araya@cummins.cl</v>
          </cell>
          <cell r="GT27" t="str">
            <v>B - D - Sin licencia</v>
          </cell>
        </row>
        <row r="28">
          <cell r="E28" t="str">
            <v>18.183.181-2</v>
          </cell>
          <cell r="J28" t="str">
            <v>bayron.vergara@global.komatsu</v>
          </cell>
          <cell r="FF28">
            <v>46388</v>
          </cell>
          <cell r="GT28" t="str">
            <v>B</v>
          </cell>
        </row>
        <row r="29">
          <cell r="E29" t="str">
            <v>17.861.249-2</v>
          </cell>
          <cell r="J29" t="str">
            <v>benito.castillo@global.komatsu</v>
          </cell>
          <cell r="GT29" t="str">
            <v>B - D - A4</v>
          </cell>
        </row>
        <row r="30">
          <cell r="E30" t="str">
            <v>19.979.332-2</v>
          </cell>
          <cell r="J30" t="str">
            <v>benjamin.fuentes@global.komatsu</v>
          </cell>
          <cell r="FF30">
            <v>46388</v>
          </cell>
          <cell r="GT30" t="str">
            <v>B - D</v>
          </cell>
        </row>
        <row r="31">
          <cell r="E31" t="str">
            <v>18.125.852-7</v>
          </cell>
          <cell r="J31" t="str">
            <v>benjamin.peredo@global.komatsu</v>
          </cell>
          <cell r="GT31" t="str">
            <v>B - D - A4</v>
          </cell>
        </row>
        <row r="32">
          <cell r="E32" t="str">
            <v>20.529.022-2</v>
          </cell>
          <cell r="J32" t="str">
            <v>benjamin.trujillo@global.komatsu</v>
          </cell>
          <cell r="GT32" t="str">
            <v>B</v>
          </cell>
        </row>
        <row r="33">
          <cell r="E33" t="str">
            <v>19.463.519-2</v>
          </cell>
          <cell r="J33" t="str">
            <v>bielka.chicago@global.komatsu</v>
          </cell>
          <cell r="GT33" t="str">
            <v/>
          </cell>
        </row>
        <row r="34">
          <cell r="E34" t="str">
            <v>21.981.317-1</v>
          </cell>
          <cell r="J34" t="str">
            <v>braulio.sasmaya@global.komatsu</v>
          </cell>
          <cell r="GT34" t="str">
            <v/>
          </cell>
        </row>
        <row r="35">
          <cell r="E35" t="str">
            <v>17.246.055-0</v>
          </cell>
          <cell r="J35" t="str">
            <v>brian.reygada.f@global.komatsu</v>
          </cell>
          <cell r="GT35" t="str">
            <v>B</v>
          </cell>
        </row>
        <row r="36">
          <cell r="E36" t="str">
            <v>20.274.647-0</v>
          </cell>
          <cell r="J36" t="str">
            <v>bryan.bascur@global.komatsu</v>
          </cell>
          <cell r="GT36" t="str">
            <v>B</v>
          </cell>
        </row>
        <row r="37">
          <cell r="E37" t="str">
            <v>19.825.050-3</v>
          </cell>
          <cell r="J37" t="str">
            <v>camila.iriarte@global.komatsu</v>
          </cell>
          <cell r="GT37" t="str">
            <v/>
          </cell>
        </row>
        <row r="38">
          <cell r="E38" t="str">
            <v>17.092.538-6</v>
          </cell>
          <cell r="J38" t="str">
            <v>camilo.jara@global.komatsu</v>
          </cell>
          <cell r="GT38" t="str">
            <v>B</v>
          </cell>
        </row>
        <row r="39">
          <cell r="E39" t="str">
            <v>20.734.976-3</v>
          </cell>
          <cell r="J39" t="str">
            <v>camilo.salgado.g@global.komatsu</v>
          </cell>
          <cell r="GT39" t="str">
            <v/>
          </cell>
        </row>
        <row r="40">
          <cell r="E40" t="str">
            <v>15.769.371-9</v>
          </cell>
          <cell r="J40" t="str">
            <v>carina.calderon@global.komatsu</v>
          </cell>
          <cell r="GT40" t="str">
            <v>B</v>
          </cell>
        </row>
        <row r="41">
          <cell r="E41" t="str">
            <v>12.419.356-7</v>
          </cell>
          <cell r="J41" t="str">
            <v>carlos.aramayo@global.komatsu</v>
          </cell>
          <cell r="GT41" t="str">
            <v>B</v>
          </cell>
        </row>
        <row r="42">
          <cell r="E42" t="str">
            <v>20.098.790-K</v>
          </cell>
          <cell r="J42" t="str">
            <v>carlos.carrizo@global.komatsu</v>
          </cell>
          <cell r="GT42" t="str">
            <v>B</v>
          </cell>
        </row>
        <row r="43">
          <cell r="E43" t="str">
            <v>19.939.401-0</v>
          </cell>
          <cell r="J43" t="str">
            <v>carlos.espinoza.a@global.komatsu</v>
          </cell>
          <cell r="GT43" t="str">
            <v/>
          </cell>
        </row>
        <row r="44">
          <cell r="E44" t="str">
            <v>15.693.285-k</v>
          </cell>
          <cell r="J44" t="str">
            <v>carlos.hurtado@global.komatsu</v>
          </cell>
          <cell r="GT44" t="str">
            <v>B - D</v>
          </cell>
        </row>
        <row r="45">
          <cell r="E45" t="str">
            <v>12.210.034-0</v>
          </cell>
          <cell r="J45" t="str">
            <v>carlos.inzunza.a@global.komatsu</v>
          </cell>
          <cell r="FD45">
            <v>46388</v>
          </cell>
          <cell r="FF45">
            <v>46388</v>
          </cell>
          <cell r="GT45" t="str">
            <v>B - D - A4</v>
          </cell>
        </row>
        <row r="46">
          <cell r="E46" t="str">
            <v>16.824.319-7</v>
          </cell>
          <cell r="J46" t="str">
            <v>catur.carlos@global.komatsu</v>
          </cell>
          <cell r="FD46">
            <v>46388</v>
          </cell>
          <cell r="GT46" t="str">
            <v>B</v>
          </cell>
        </row>
        <row r="47">
          <cell r="E47" t="str">
            <v>17.433.629-6</v>
          </cell>
          <cell r="J47" t="str">
            <v>Carolina.caceres.a@global.komatsu</v>
          </cell>
          <cell r="GT47" t="str">
            <v>D</v>
          </cell>
        </row>
        <row r="48">
          <cell r="E48" t="str">
            <v>19.867.631-4</v>
          </cell>
          <cell r="J48" t="str">
            <v>cesar.araya@global.komatsu</v>
          </cell>
          <cell r="GT48" t="str">
            <v>B - D</v>
          </cell>
        </row>
        <row r="49">
          <cell r="E49" t="str">
            <v>19.867.488-5</v>
          </cell>
          <cell r="J49" t="str">
            <v>chilin.luy.g@global.komatsu</v>
          </cell>
          <cell r="GT49" t="str">
            <v/>
          </cell>
        </row>
        <row r="50">
          <cell r="E50" t="str">
            <v>20.260.240-1</v>
          </cell>
          <cell r="J50" t="str">
            <v>christian.caceres.d@global.komatsu</v>
          </cell>
          <cell r="GT50" t="str">
            <v>B  - D</v>
          </cell>
        </row>
        <row r="51">
          <cell r="E51" t="str">
            <v>18.100.391-K</v>
          </cell>
          <cell r="J51" t="str">
            <v>christian.silva@global.komatsu</v>
          </cell>
          <cell r="GT51" t="str">
            <v>B - A4</v>
          </cell>
        </row>
        <row r="52">
          <cell r="E52" t="str">
            <v>20.735.342-6</v>
          </cell>
          <cell r="J52" t="str">
            <v>christina.plaza@global.komatsu</v>
          </cell>
          <cell r="GT52" t="str">
            <v/>
          </cell>
        </row>
        <row r="53">
          <cell r="E53" t="str">
            <v>22.474.820-5</v>
          </cell>
          <cell r="J53" t="str">
            <v>cinthia.campos.p@global.komatsu</v>
          </cell>
          <cell r="GT53" t="str">
            <v>B</v>
          </cell>
        </row>
        <row r="54">
          <cell r="E54" t="str">
            <v>21.185.228-3</v>
          </cell>
          <cell r="J54" t="str">
            <v>claudia.gahona@global.komatsu</v>
          </cell>
          <cell r="GT54" t="str">
            <v>B</v>
          </cell>
        </row>
        <row r="55">
          <cell r="E55" t="str">
            <v>12.442.918-8</v>
          </cell>
          <cell r="J55" t="str">
            <v>claudio.castillo@global.komatsu</v>
          </cell>
          <cell r="FF55">
            <v>46388</v>
          </cell>
          <cell r="GT55" t="str">
            <v>B - D</v>
          </cell>
        </row>
        <row r="56">
          <cell r="E56" t="str">
            <v>12.571.470-6</v>
          </cell>
          <cell r="J56" t="str">
            <v>claudio.diaz.a@global.komatsu</v>
          </cell>
          <cell r="GT56" t="str">
            <v>B - D - A4</v>
          </cell>
        </row>
        <row r="57">
          <cell r="E57" t="str">
            <v>24.352.583-7</v>
          </cell>
          <cell r="J57" t="str">
            <v>claudio.huanca@cummins.cl</v>
          </cell>
          <cell r="GT57" t="str">
            <v>Sin licencia - Sin licencia - Sin licencia</v>
          </cell>
        </row>
        <row r="58">
          <cell r="E58" t="str">
            <v>19.664.545-4</v>
          </cell>
          <cell r="J58" t="str">
            <v>claudio.miranda.g@global.komatsu</v>
          </cell>
          <cell r="FF58">
            <v>46388</v>
          </cell>
          <cell r="GT58" t="str">
            <v>B - D - A4</v>
          </cell>
        </row>
        <row r="59">
          <cell r="E59" t="str">
            <v>18.984.112-4</v>
          </cell>
          <cell r="J59" t="str">
            <v>claudio.robles.c@global.komatsu</v>
          </cell>
          <cell r="GT59" t="str">
            <v/>
          </cell>
        </row>
        <row r="60">
          <cell r="E60" t="str">
            <v>17.289.071-7</v>
          </cell>
          <cell r="J60" t="str">
            <v>crhistian.salazar@global.komatsu</v>
          </cell>
          <cell r="GT60" t="str">
            <v/>
          </cell>
        </row>
        <row r="61">
          <cell r="E61" t="str">
            <v>16.258.823-0</v>
          </cell>
          <cell r="J61" t="str">
            <v>c.araya@global.komatsu</v>
          </cell>
          <cell r="GT61" t="str">
            <v>B - D - A4</v>
          </cell>
        </row>
        <row r="62">
          <cell r="E62" t="str">
            <v>16.294.664-1</v>
          </cell>
          <cell r="J62" t="str">
            <v>cristian.ardiles.a@global.komatsu</v>
          </cell>
          <cell r="GT62" t="str">
            <v>B - D</v>
          </cell>
        </row>
        <row r="63">
          <cell r="E63" t="str">
            <v>19.538.264-6</v>
          </cell>
          <cell r="J63" t="str">
            <v>cristian.azocar@global.komatsu</v>
          </cell>
          <cell r="GT63" t="str">
            <v/>
          </cell>
        </row>
        <row r="64">
          <cell r="E64" t="str">
            <v>17.012.319-0</v>
          </cell>
          <cell r="J64" t="str">
            <v>cristian.cardenas@global.komatsu</v>
          </cell>
          <cell r="GT64" t="str">
            <v>B - D</v>
          </cell>
        </row>
        <row r="65">
          <cell r="E65" t="str">
            <v>15.979.959-K</v>
          </cell>
          <cell r="J65" t="str">
            <v>cristian.choque.r@global.komatsu</v>
          </cell>
          <cell r="GT65" t="str">
            <v>B - D</v>
          </cell>
        </row>
        <row r="66">
          <cell r="E66" t="str">
            <v>13.213.836-2</v>
          </cell>
          <cell r="J66" t="str">
            <v>cristian.guerrero@global.komatsu</v>
          </cell>
          <cell r="GT66" t="str">
            <v>B - D - A4</v>
          </cell>
        </row>
        <row r="67">
          <cell r="E67" t="str">
            <v>18.273.568-K</v>
          </cell>
          <cell r="J67" t="str">
            <v>cristian.norambuena@global.komatsu</v>
          </cell>
          <cell r="GT67" t="str">
            <v>B - D</v>
          </cell>
        </row>
        <row r="68">
          <cell r="E68" t="str">
            <v>20.348.189-6</v>
          </cell>
          <cell r="J68" t="str">
            <v>cristian.vera@global.komatsu</v>
          </cell>
          <cell r="GT68" t="str">
            <v/>
          </cell>
        </row>
        <row r="69">
          <cell r="E69" t="str">
            <v>18.826.957-5</v>
          </cell>
          <cell r="J69" t="str">
            <v>cristofer.selti@cummins.cl</v>
          </cell>
          <cell r="GT69" t="str">
            <v>Sin licencia - Sin licencia - Sin licencia</v>
          </cell>
        </row>
        <row r="70">
          <cell r="E70" t="str">
            <v>16.566.699-2</v>
          </cell>
          <cell r="J70" t="str">
            <v>cristopher.bravo@global.komatsu</v>
          </cell>
          <cell r="FD70">
            <v>46388</v>
          </cell>
          <cell r="GT70" t="str">
            <v>B - D - A4</v>
          </cell>
        </row>
        <row r="71">
          <cell r="E71" t="str">
            <v>16.560.085-1</v>
          </cell>
          <cell r="J71" t="str">
            <v>cristopher.diaz.c@global.komatsu</v>
          </cell>
          <cell r="GT71" t="str">
            <v>B</v>
          </cell>
        </row>
        <row r="72">
          <cell r="E72" t="str">
            <v>20.352.192-8</v>
          </cell>
          <cell r="J72" t="str">
            <v>damian.mendizabal@global.komatsu</v>
          </cell>
          <cell r="GT72" t="str">
            <v/>
          </cell>
        </row>
        <row r="73">
          <cell r="E73" t="str">
            <v>20.600.081-3</v>
          </cell>
          <cell r="J73" t="str">
            <v>damian.ordenes.c@global.komatsu</v>
          </cell>
          <cell r="GT73" t="str">
            <v>B - D</v>
          </cell>
        </row>
        <row r="74">
          <cell r="E74" t="str">
            <v>17.725.257-3</v>
          </cell>
          <cell r="J74" t="str">
            <v>daniel.barrientos@global.komatsu</v>
          </cell>
          <cell r="GT74" t="str">
            <v>B</v>
          </cell>
        </row>
        <row r="75">
          <cell r="E75" t="str">
            <v>25.001.170-9</v>
          </cell>
          <cell r="J75" t="str">
            <v>daniel.ona@global.komatsu </v>
          </cell>
          <cell r="GT75" t="str">
            <v>B - D - A4</v>
          </cell>
        </row>
        <row r="76">
          <cell r="E76" t="str">
            <v>12.607.702-5</v>
          </cell>
          <cell r="J76" t="str">
            <v>daniel.pena@global.komatsu</v>
          </cell>
          <cell r="GT76" t="str">
            <v>B - D - A4</v>
          </cell>
        </row>
        <row r="77">
          <cell r="E77" t="str">
            <v>19.351.934-2</v>
          </cell>
          <cell r="J77" t="str">
            <v>david.dantagnan@global.komatsu</v>
          </cell>
          <cell r="GT77" t="str">
            <v>B</v>
          </cell>
        </row>
        <row r="78">
          <cell r="E78" t="str">
            <v>19.980.379-4</v>
          </cell>
          <cell r="J78" t="str">
            <v>david.marchant@global.komatsu</v>
          </cell>
          <cell r="FD78">
            <v>46388</v>
          </cell>
          <cell r="GT78" t="str">
            <v>B - D</v>
          </cell>
        </row>
        <row r="79">
          <cell r="E79" t="str">
            <v>18.124.985-4</v>
          </cell>
          <cell r="J79" t="str">
            <v>david.molina@global.komatsu</v>
          </cell>
          <cell r="GT79" t="str">
            <v>B - D - A4</v>
          </cell>
        </row>
        <row r="80">
          <cell r="E80" t="str">
            <v>16.062.651-8</v>
          </cell>
          <cell r="J80" t="str">
            <v>david.salgado@global.komatsu</v>
          </cell>
          <cell r="FD80">
            <v>46388</v>
          </cell>
          <cell r="FF80">
            <v>46388</v>
          </cell>
          <cell r="GT80" t="str">
            <v>B</v>
          </cell>
        </row>
        <row r="81">
          <cell r="E81" t="str">
            <v>18.506.683-5</v>
          </cell>
          <cell r="J81" t="str">
            <v>daylin.chavez.c@global.komatsu</v>
          </cell>
          <cell r="GT81" t="str">
            <v/>
          </cell>
        </row>
        <row r="82">
          <cell r="E82" t="str">
            <v>21.140.103-6</v>
          </cell>
          <cell r="J82" t="str">
            <v>deivyd.hidalgo@global.komatsu</v>
          </cell>
          <cell r="GT82" t="str">
            <v>B</v>
          </cell>
        </row>
        <row r="83">
          <cell r="E83" t="str">
            <v>15.067.608-8</v>
          </cell>
          <cell r="J83" t="str">
            <v>diego.garay@global.komatsu</v>
          </cell>
          <cell r="GT83" t="str">
            <v>B - D - A4</v>
          </cell>
        </row>
        <row r="84">
          <cell r="E84" t="str">
            <v>18.943.848-6</v>
          </cell>
          <cell r="J84" t="str">
            <v>diego.mamani@global.komatsu </v>
          </cell>
          <cell r="GT84" t="str">
            <v>B - D</v>
          </cell>
        </row>
        <row r="85">
          <cell r="E85" t="str">
            <v>20.921.466-0</v>
          </cell>
          <cell r="J85" t="str">
            <v>dylan.castillo@global.komatsu</v>
          </cell>
          <cell r="GT85" t="str">
            <v/>
          </cell>
        </row>
        <row r="86">
          <cell r="E86" t="str">
            <v>17.445.250-4</v>
          </cell>
          <cell r="J86" t="str">
            <v>edgard.aravena@global.komatsu</v>
          </cell>
          <cell r="GT86" t="str">
            <v>B - D - A4</v>
          </cell>
        </row>
        <row r="87">
          <cell r="E87" t="str">
            <v>9.133.711-8</v>
          </cell>
          <cell r="J87" t="str">
            <v>edgard.lorca@global.komatsu</v>
          </cell>
          <cell r="GT87" t="str">
            <v/>
          </cell>
        </row>
        <row r="88">
          <cell r="E88" t="str">
            <v>17.902.362-8</v>
          </cell>
          <cell r="J88" t="str">
            <v>eduardo.gomezt@global.komatsu</v>
          </cell>
          <cell r="FD88">
            <v>46388</v>
          </cell>
          <cell r="FF88">
            <v>46388</v>
          </cell>
          <cell r="GT88" t="str">
            <v/>
          </cell>
        </row>
        <row r="89">
          <cell r="E89" t="str">
            <v>17.453.003-3</v>
          </cell>
          <cell r="J89" t="str">
            <v>eduardo.lanas.c@global.komatsu</v>
          </cell>
          <cell r="GT89" t="str">
            <v>B</v>
          </cell>
        </row>
        <row r="90">
          <cell r="E90" t="str">
            <v>14.590.371-8</v>
          </cell>
          <cell r="J90" t="str">
            <v>elena.honorato@cummins.cl</v>
          </cell>
          <cell r="GT90" t="str">
            <v>B - D - Sin licencia</v>
          </cell>
        </row>
        <row r="91">
          <cell r="E91" t="str">
            <v>20.133.232-K</v>
          </cell>
          <cell r="J91" t="str">
            <v>elias.contreras.m@global.komatsu</v>
          </cell>
          <cell r="GT91" t="str">
            <v>B - A4</v>
          </cell>
        </row>
        <row r="92">
          <cell r="E92" t="str">
            <v>23.455.270-8</v>
          </cell>
          <cell r="J92" t="str">
            <v>elver.aguilar@global.komatsu</v>
          </cell>
          <cell r="GT92" t="str">
            <v/>
          </cell>
        </row>
        <row r="93">
          <cell r="E93" t="str">
            <v>10.089.139-5</v>
          </cell>
          <cell r="J93" t="str">
            <v>Emiliano.Bustos@global.komatsu</v>
          </cell>
          <cell r="GT93" t="str">
            <v>B - D - A4</v>
          </cell>
        </row>
        <row r="94">
          <cell r="E94" t="str">
            <v>20.352.474-9</v>
          </cell>
          <cell r="J94" t="str">
            <v>emilio.araneda@global.komatsu</v>
          </cell>
          <cell r="GT94" t="str">
            <v>B - D - A4</v>
          </cell>
        </row>
        <row r="95">
          <cell r="E95" t="str">
            <v>14.509.020-2</v>
          </cell>
          <cell r="J95" t="str">
            <v>esteban.colque@global.komatsu</v>
          </cell>
          <cell r="GT95" t="str">
            <v>B</v>
          </cell>
        </row>
        <row r="96">
          <cell r="E96" t="str">
            <v>17.163.244-7</v>
          </cell>
          <cell r="J96" t="str">
            <v>esteban.munoz@global.komatsu</v>
          </cell>
          <cell r="GT96" t="str">
            <v>B</v>
          </cell>
        </row>
        <row r="97">
          <cell r="E97" t="str">
            <v>20.082.334-6</v>
          </cell>
          <cell r="J97" t="str">
            <v>ezequiel.gonzalez@global.komatsu</v>
          </cell>
          <cell r="GT97" t="str">
            <v>B - D</v>
          </cell>
        </row>
        <row r="98">
          <cell r="E98" t="str">
            <v>18.757.804-3</v>
          </cell>
          <cell r="J98" t="str">
            <v>fabian.barrera@global.komatsu</v>
          </cell>
          <cell r="FD98">
            <v>46388</v>
          </cell>
          <cell r="FF98">
            <v>46388</v>
          </cell>
          <cell r="GT98" t="str">
            <v/>
          </cell>
        </row>
        <row r="99">
          <cell r="E99" t="str">
            <v>20.399.173-8</v>
          </cell>
          <cell r="J99" t="str">
            <v>fabian.contreras@global.komatsu</v>
          </cell>
          <cell r="GT99" t="str">
            <v/>
          </cell>
        </row>
        <row r="100">
          <cell r="E100" t="str">
            <v>16.466.823-1</v>
          </cell>
          <cell r="J100" t="str">
            <v>fabian.ortiz@global.komatsu</v>
          </cell>
          <cell r="GT100" t="str">
            <v>B - D - A4</v>
          </cell>
        </row>
        <row r="101">
          <cell r="E101" t="str">
            <v>20.347.179-3</v>
          </cell>
          <cell r="J101" t="str">
            <v>fabian.rojas.o@global.komatsu</v>
          </cell>
          <cell r="GT101" t="str">
            <v/>
          </cell>
        </row>
        <row r="102">
          <cell r="E102" t="str">
            <v>17.172.507-0</v>
          </cell>
          <cell r="J102" t="str">
            <v>fabiola.soto@global.komatsu</v>
          </cell>
          <cell r="GT102" t="str">
            <v>B</v>
          </cell>
        </row>
        <row r="103">
          <cell r="E103" t="str">
            <v>18.496.680-8</v>
          </cell>
          <cell r="J103" t="str">
            <v>felipe.cuevas@global.komatsu</v>
          </cell>
          <cell r="FD103">
            <v>46388</v>
          </cell>
          <cell r="GT103" t="str">
            <v>B - A4</v>
          </cell>
        </row>
        <row r="104">
          <cell r="E104" t="str">
            <v>18.183.699-7</v>
          </cell>
          <cell r="J104" t="str">
            <v>felipe.diaz@global.komatsu</v>
          </cell>
          <cell r="GT104" t="str">
            <v>B - D</v>
          </cell>
        </row>
        <row r="105">
          <cell r="E105" t="str">
            <v>15.615.715-5</v>
          </cell>
          <cell r="J105" t="str">
            <v>felipe.gonzalez.f@global.komatsu</v>
          </cell>
          <cell r="GT105" t="str">
            <v/>
          </cell>
        </row>
        <row r="106">
          <cell r="E106" t="str">
            <v>18.179.935-8</v>
          </cell>
          <cell r="J106" t="str">
            <v>felix.paolini@global.komatsu</v>
          </cell>
          <cell r="GT106" t="str">
            <v>B</v>
          </cell>
        </row>
        <row r="107">
          <cell r="E107" t="str">
            <v>15.013.964-3</v>
          </cell>
          <cell r="J107" t="str">
            <v>fernando.barrera@global.komatsu</v>
          </cell>
          <cell r="GT107" t="str">
            <v/>
          </cell>
        </row>
        <row r="108">
          <cell r="E108" t="str">
            <v>14.601.156-K</v>
          </cell>
          <cell r="J108" t="str">
            <v>fernando.rojas@global.komatsu</v>
          </cell>
          <cell r="FF108">
            <v>46388</v>
          </cell>
          <cell r="GT108" t="str">
            <v>B - D</v>
          </cell>
        </row>
        <row r="109">
          <cell r="E109" t="str">
            <v>19.206.141-5</v>
          </cell>
          <cell r="J109" t="str">
            <v>fernando.romero@global.komatsu</v>
          </cell>
          <cell r="GT109" t="str">
            <v>B - D</v>
          </cell>
        </row>
        <row r="110">
          <cell r="E110" t="str">
            <v>19.352.615-2</v>
          </cell>
          <cell r="J110" t="str">
            <v>flavio.saavedra@global.komatsu</v>
          </cell>
          <cell r="FF110">
            <v>46388</v>
          </cell>
          <cell r="GT110" t="str">
            <v>B</v>
          </cell>
        </row>
        <row r="111">
          <cell r="E111" t="str">
            <v>18.521.184-3</v>
          </cell>
          <cell r="J111" t="str">
            <v>francisco.alvarez.z@global.komatsu</v>
          </cell>
          <cell r="GT111" t="str">
            <v>B - D</v>
          </cell>
        </row>
        <row r="112">
          <cell r="E112" t="str">
            <v>17.492.399-K</v>
          </cell>
          <cell r="J112" t="str">
            <v>francisco.ramirez@global.komatsu</v>
          </cell>
          <cell r="GT112" t="str">
            <v>B</v>
          </cell>
        </row>
        <row r="113">
          <cell r="E113" t="str">
            <v>15.947.238-8</v>
          </cell>
          <cell r="J113" t="str">
            <v>francisco.rojas.p@global.komatsu</v>
          </cell>
          <cell r="GT113" t="str">
            <v/>
          </cell>
        </row>
        <row r="114">
          <cell r="E114" t="str">
            <v>17.092.818-0</v>
          </cell>
          <cell r="J114" t="str">
            <v>francisco.torres.a@global.komatsu</v>
          </cell>
          <cell r="GT114" t="str">
            <v>B - D</v>
          </cell>
        </row>
        <row r="115">
          <cell r="E115" t="str">
            <v>13.532.619-4</v>
          </cell>
          <cell r="J115" t="str">
            <v>francisco.varasc@global.komatsu</v>
          </cell>
          <cell r="FD115">
            <v>46388</v>
          </cell>
          <cell r="FF115">
            <v>46388</v>
          </cell>
          <cell r="GT115" t="str">
            <v>B</v>
          </cell>
        </row>
        <row r="116">
          <cell r="E116" t="str">
            <v>19.467.265-9</v>
          </cell>
          <cell r="J116" t="str">
            <v>franco.anjel@global.komatsu</v>
          </cell>
          <cell r="FD116">
            <v>46388</v>
          </cell>
          <cell r="FF116">
            <v>46388</v>
          </cell>
          <cell r="GT116" t="str">
            <v>B - D</v>
          </cell>
        </row>
        <row r="117">
          <cell r="E117" t="str">
            <v>18.343.068-8</v>
          </cell>
          <cell r="J117" t="str">
            <v>franco.barrera@global.komatsu</v>
          </cell>
          <cell r="FF117">
            <v>46388</v>
          </cell>
          <cell r="GT117" t="str">
            <v>B - D - A4</v>
          </cell>
        </row>
        <row r="118">
          <cell r="E118" t="str">
            <v>16.593.690-6</v>
          </cell>
          <cell r="J118" t="str">
            <v>gabriel.garcia@global.komatsu</v>
          </cell>
          <cell r="GT118" t="str">
            <v>B</v>
          </cell>
        </row>
        <row r="119">
          <cell r="E119" t="str">
            <v>17.246.054-2</v>
          </cell>
          <cell r="J119" t="str">
            <v>gary.reygada.f@global.komatsu</v>
          </cell>
          <cell r="GT119" t="str">
            <v>B</v>
          </cell>
        </row>
        <row r="120">
          <cell r="E120" t="str">
            <v>22.856.322-6</v>
          </cell>
          <cell r="J120" t="str">
            <v>gerald.perez@global.komatsu</v>
          </cell>
          <cell r="GT120" t="str">
            <v>B</v>
          </cell>
        </row>
        <row r="121">
          <cell r="E121" t="str">
            <v>13.632.298-2</v>
          </cell>
          <cell r="J121" t="str">
            <v>gerardo.zamorano.h@global.komatsu</v>
          </cell>
          <cell r="GT121" t="str">
            <v>B</v>
          </cell>
        </row>
        <row r="122">
          <cell r="E122" t="str">
            <v>18.825.583-3</v>
          </cell>
          <cell r="J122" t="str">
            <v>giancarlo.huerta.ll@global.komatsu</v>
          </cell>
          <cell r="GT122" t="str">
            <v>B</v>
          </cell>
        </row>
        <row r="123">
          <cell r="E123" t="str">
            <v>20.451.662-6</v>
          </cell>
          <cell r="J123" t="str">
            <v>gianfranco.casoni.m@global.komatsu</v>
          </cell>
          <cell r="GT123" t="str">
            <v/>
          </cell>
        </row>
        <row r="124">
          <cell r="E124" t="str">
            <v>15.970.156-5</v>
          </cell>
          <cell r="J124" t="str">
            <v>giovanni.contreras@global.komatsu</v>
          </cell>
          <cell r="FF124">
            <v>46388</v>
          </cell>
          <cell r="GT124" t="str">
            <v>B</v>
          </cell>
        </row>
        <row r="125">
          <cell r="E125" t="str">
            <v>13.217.405-9</v>
          </cell>
          <cell r="J125" t="str">
            <v>glidde.cortes@global.komatsu</v>
          </cell>
          <cell r="FD125">
            <v>46388</v>
          </cell>
          <cell r="FF125">
            <v>46388</v>
          </cell>
          <cell r="GT125" t="str">
            <v>B - D - A4</v>
          </cell>
        </row>
        <row r="126">
          <cell r="E126" t="str">
            <v>16.868.973-K</v>
          </cell>
          <cell r="J126" t="str">
            <v>Guillermo.echeverria@global.komatsu</v>
          </cell>
          <cell r="GT126" t="str">
            <v>B</v>
          </cell>
        </row>
        <row r="127">
          <cell r="E127" t="str">
            <v>14.535.481-1</v>
          </cell>
          <cell r="J127" t="str">
            <v>guillermo.guerrero.c@global.komatsu</v>
          </cell>
          <cell r="GT127" t="str">
            <v>B - D - A4</v>
          </cell>
        </row>
        <row r="128">
          <cell r="E128" t="str">
            <v>15.705.129-6</v>
          </cell>
          <cell r="J128" t="str">
            <v>guillermo.henriquez@global.komatsu</v>
          </cell>
          <cell r="GT128" t="str">
            <v/>
          </cell>
        </row>
        <row r="129">
          <cell r="E129" t="str">
            <v>17.392.038-5</v>
          </cell>
          <cell r="J129" t="str">
            <v>gustavo.acevedo.b@global.komatsu</v>
          </cell>
          <cell r="GT129" t="str">
            <v>B</v>
          </cell>
        </row>
        <row r="130">
          <cell r="E130" t="str">
            <v>18.960.586-2</v>
          </cell>
          <cell r="J130" t="str">
            <v>gustavo.cespedes.z@global.komatsu</v>
          </cell>
          <cell r="GT130" t="str">
            <v>B</v>
          </cell>
        </row>
        <row r="131">
          <cell r="E131" t="str">
            <v>16.829.133-7</v>
          </cell>
          <cell r="J131" t="str">
            <v>harry.mamani@global.komatsu</v>
          </cell>
          <cell r="GT131" t="str">
            <v>B - D - A4</v>
          </cell>
        </row>
        <row r="132">
          <cell r="E132" t="str">
            <v>14.412.026-4</v>
          </cell>
          <cell r="J132" t="str">
            <v>hector.espinoza.m@global.komatsu</v>
          </cell>
          <cell r="GT132" t="str">
            <v>B - D</v>
          </cell>
        </row>
        <row r="133">
          <cell r="E133" t="str">
            <v>16.591.798-7</v>
          </cell>
          <cell r="J133" t="str">
            <v>hector.orellana@global.komatsu</v>
          </cell>
          <cell r="FD133">
            <v>46388</v>
          </cell>
          <cell r="GT133" t="str">
            <v>B - D</v>
          </cell>
        </row>
        <row r="134">
          <cell r="E134" t="str">
            <v>20.981.687-3</v>
          </cell>
          <cell r="J134" t="str">
            <v>hector.toledo.m@global.komatsu</v>
          </cell>
          <cell r="GT134" t="str">
            <v>B - D</v>
          </cell>
        </row>
        <row r="135">
          <cell r="E135" t="str">
            <v>13.176.816-8</v>
          </cell>
          <cell r="J135" t="str">
            <v>heriberto.rojas@global.komatsu</v>
          </cell>
          <cell r="FF135">
            <v>46388</v>
          </cell>
          <cell r="GT135" t="str">
            <v>B - D - A4</v>
          </cell>
        </row>
        <row r="136">
          <cell r="E136" t="str">
            <v>12.832.205-1</v>
          </cell>
          <cell r="J136" t="str">
            <v>hugo.espinosa@global.komatsu</v>
          </cell>
          <cell r="FD136">
            <v>46388</v>
          </cell>
          <cell r="GT136" t="str">
            <v>B</v>
          </cell>
        </row>
        <row r="137">
          <cell r="E137" t="str">
            <v>19.950.603-K</v>
          </cell>
          <cell r="J137" t="str">
            <v>ignacio.llanos@global.komatsu</v>
          </cell>
          <cell r="GT137" t="str">
            <v>B</v>
          </cell>
        </row>
        <row r="138">
          <cell r="E138" t="str">
            <v>21.025.276-2</v>
          </cell>
          <cell r="J138" t="str">
            <v>isaias.contreras@global.komatsu</v>
          </cell>
          <cell r="GT138" t="str">
            <v/>
          </cell>
        </row>
        <row r="139">
          <cell r="E139" t="str">
            <v>19.826.194-7</v>
          </cell>
          <cell r="J139" t="str">
            <v>ivan.urrelo@global.komatsu</v>
          </cell>
          <cell r="GT139" t="str">
            <v/>
          </cell>
        </row>
        <row r="140">
          <cell r="E140" t="str">
            <v>17.018.417-3</v>
          </cell>
          <cell r="J140" t="str">
            <v>ivan.villegas@global.komatsu</v>
          </cell>
          <cell r="FF140">
            <v>46388</v>
          </cell>
          <cell r="GT140" t="str">
            <v>B</v>
          </cell>
        </row>
        <row r="141">
          <cell r="E141" t="str">
            <v>17.012.480-4</v>
          </cell>
          <cell r="J141" t="str">
            <v>ivo.patty@global.komatsu</v>
          </cell>
          <cell r="GT141" t="str">
            <v>B - D</v>
          </cell>
        </row>
        <row r="142">
          <cell r="E142" t="str">
            <v>19.871.539-5</v>
          </cell>
          <cell r="J142" t="str">
            <v>jaime.alcayaga@global.komatsu</v>
          </cell>
          <cell r="GT142" t="str">
            <v>B</v>
          </cell>
        </row>
        <row r="143">
          <cell r="E143" t="str">
            <v>17.656.059-2</v>
          </cell>
          <cell r="J143" t="str">
            <v>jaime.basilio@global.komatsu</v>
          </cell>
          <cell r="GT143" t="str">
            <v>B - D</v>
          </cell>
        </row>
        <row r="144">
          <cell r="E144" t="str">
            <v>17.246.344-4</v>
          </cell>
          <cell r="J144" t="str">
            <v>jaime.carrizo@global.komatsu</v>
          </cell>
          <cell r="FD144">
            <v>46388</v>
          </cell>
          <cell r="GT144" t="str">
            <v>B - D - A4</v>
          </cell>
        </row>
        <row r="145">
          <cell r="E145" t="str">
            <v>19.303.000-9</v>
          </cell>
          <cell r="J145" t="str">
            <v>jair.diaz@cummins.cl</v>
          </cell>
          <cell r="GT145" t="str">
            <v>B - D - Sin licencia</v>
          </cell>
        </row>
        <row r="146">
          <cell r="E146" t="str">
            <v>19.334.828-9</v>
          </cell>
          <cell r="J146" t="str">
            <v>jaison.vejar.h@global.komatsu</v>
          </cell>
          <cell r="GT146" t="str">
            <v/>
          </cell>
        </row>
        <row r="147">
          <cell r="E147" t="str">
            <v>19.852.159-0</v>
          </cell>
          <cell r="J147" t="str">
            <v xml:space="preserve"> javier.nunez@global.komatsu</v>
          </cell>
          <cell r="FF147">
            <v>46388</v>
          </cell>
          <cell r="GT147" t="str">
            <v/>
          </cell>
        </row>
        <row r="148">
          <cell r="E148" t="str">
            <v>21.467.074-7</v>
          </cell>
          <cell r="J148" t="str">
            <v>jaison.bruce@global.komatsu</v>
          </cell>
          <cell r="GT148" t="str">
            <v/>
          </cell>
        </row>
        <row r="149">
          <cell r="E149" t="str">
            <v>18.125.329-0</v>
          </cell>
          <cell r="J149" t="str">
            <v>jerson.robledo@global.komatsu</v>
          </cell>
          <cell r="FF149">
            <v>46388</v>
          </cell>
          <cell r="GT149" t="str">
            <v>B</v>
          </cell>
        </row>
        <row r="150">
          <cell r="E150" t="str">
            <v>17.528.299-8</v>
          </cell>
          <cell r="J150" t="str">
            <v>jhan.silva@global.komatsu</v>
          </cell>
          <cell r="FD150">
            <v>46388</v>
          </cell>
          <cell r="FF150">
            <v>46388</v>
          </cell>
          <cell r="GT150" t="str">
            <v>B - D</v>
          </cell>
        </row>
        <row r="151">
          <cell r="E151" t="str">
            <v>17.279.846-2</v>
          </cell>
          <cell r="J151" t="str">
            <v>jimmy.vasquez@global.komatsu</v>
          </cell>
          <cell r="GT151" t="str">
            <v>B</v>
          </cell>
        </row>
        <row r="152">
          <cell r="E152" t="str">
            <v>18.353.265-0</v>
          </cell>
          <cell r="J152" t="str">
            <v>jobany.valenzuela@global.komatsu</v>
          </cell>
          <cell r="FF152">
            <v>46388</v>
          </cell>
          <cell r="GT152" t="str">
            <v>B - D</v>
          </cell>
        </row>
        <row r="153">
          <cell r="E153" t="str">
            <v>21.256.995-K</v>
          </cell>
          <cell r="J153" t="str">
            <v>johan.cortes.b@global.komatsu</v>
          </cell>
          <cell r="GT153" t="str">
            <v/>
          </cell>
        </row>
        <row r="154">
          <cell r="E154" t="str">
            <v>17.737.054-1</v>
          </cell>
          <cell r="J154" t="str">
            <v>Jonathan.lopez@global.komatsu</v>
          </cell>
          <cell r="FF154">
            <v>46388</v>
          </cell>
          <cell r="GT154" t="str">
            <v>B - D - A4</v>
          </cell>
        </row>
        <row r="155">
          <cell r="E155" t="str">
            <v>14.581.463-4</v>
          </cell>
          <cell r="J155" t="str">
            <v>jonathan.trullen@global.komatsu</v>
          </cell>
          <cell r="GT155" t="str">
            <v>B - D - A4</v>
          </cell>
        </row>
        <row r="156">
          <cell r="E156" t="str">
            <v>16.785.107-K</v>
          </cell>
          <cell r="J156" t="str">
            <v>jonnattan.torres@global.komatsu</v>
          </cell>
          <cell r="GT156" t="str">
            <v>B - D - A4</v>
          </cell>
        </row>
        <row r="157">
          <cell r="E157" t="str">
            <v>17.654.265-9</v>
          </cell>
          <cell r="J157" t="str">
            <v>jordan.ledezma.v@global.komatsu</v>
          </cell>
          <cell r="GT157" t="str">
            <v>B - D - A4</v>
          </cell>
        </row>
        <row r="158">
          <cell r="E158" t="str">
            <v>19.205.067-7</v>
          </cell>
          <cell r="J158" t="str">
            <v>jorge.larrondo@global.komatsu</v>
          </cell>
          <cell r="GT158" t="str">
            <v/>
          </cell>
        </row>
        <row r="159">
          <cell r="E159" t="str">
            <v>22.671.424-3</v>
          </cell>
          <cell r="J159" t="str">
            <v>maximiliano.salinas@cummins.cl</v>
          </cell>
          <cell r="GT159" t="str">
            <v>Sin licencia - Sin licencia - Sin licencia</v>
          </cell>
        </row>
        <row r="160">
          <cell r="E160" t="str">
            <v>14.419.175-7</v>
          </cell>
          <cell r="J160" t="str">
            <v>jorge.olivares.v@global.komatsu</v>
          </cell>
          <cell r="GT160" t="str">
            <v>B - A4</v>
          </cell>
        </row>
        <row r="161">
          <cell r="E161" t="str">
            <v>18.843.422-3</v>
          </cell>
          <cell r="J161" t="str">
            <v>j.astudillo@cummins.cl</v>
          </cell>
          <cell r="GT161" t="str">
            <v>B - D - Sin licencia</v>
          </cell>
        </row>
        <row r="162">
          <cell r="E162" t="str">
            <v>17.452.286-3</v>
          </cell>
          <cell r="J162" t="str">
            <v>jose.diaz@global.komatsu</v>
          </cell>
          <cell r="GT162" t="str">
            <v/>
          </cell>
        </row>
        <row r="163">
          <cell r="E163" t="str">
            <v>16.453.544-4</v>
          </cell>
          <cell r="J163" t="str">
            <v>jose.flores.m@global.komatsu</v>
          </cell>
          <cell r="GT163" t="str">
            <v/>
          </cell>
        </row>
        <row r="164">
          <cell r="E164" t="str">
            <v>21.671.127-0</v>
          </cell>
          <cell r="J164" t="str">
            <v>jose.gutierrez.c@global.komatsu</v>
          </cell>
          <cell r="GT164" t="str">
            <v>B</v>
          </cell>
        </row>
        <row r="165">
          <cell r="E165" t="str">
            <v>18.826.074-8</v>
          </cell>
          <cell r="J165" t="str">
            <v>jose.hidalgo@global.komatsu</v>
          </cell>
          <cell r="GT165" t="str">
            <v>B</v>
          </cell>
        </row>
        <row r="166">
          <cell r="E166" t="str">
            <v>14.309.408-1</v>
          </cell>
          <cell r="J166" t="str">
            <v>jose.nunez.r@global.komatsu</v>
          </cell>
          <cell r="GT166" t="str">
            <v>B - D - A2-A4</v>
          </cell>
        </row>
        <row r="167">
          <cell r="E167" t="str">
            <v>10.649.920-9</v>
          </cell>
          <cell r="J167" t="str">
            <v>jose.osinaga@global.komatsu</v>
          </cell>
          <cell r="GT167" t="str">
            <v>B - D - A4</v>
          </cell>
        </row>
        <row r="168">
          <cell r="E168" t="str">
            <v>15.015.302-6</v>
          </cell>
          <cell r="J168" t="str">
            <v>jose.osorio@global.komatsu</v>
          </cell>
          <cell r="GT168" t="str">
            <v>B - D</v>
          </cell>
        </row>
        <row r="169">
          <cell r="E169" t="str">
            <v>15.733.220-1</v>
          </cell>
          <cell r="J169" t="str">
            <v>jose.panire@global.komatsu</v>
          </cell>
          <cell r="GT169" t="str">
            <v>B - D - A4</v>
          </cell>
        </row>
        <row r="170">
          <cell r="E170" t="str">
            <v>16.565.053-0</v>
          </cell>
          <cell r="J170" t="str">
            <v>jose.quiroz@global.komatsu</v>
          </cell>
          <cell r="GT170" t="str">
            <v>B</v>
          </cell>
        </row>
        <row r="171">
          <cell r="E171" t="str">
            <v>15.812.632-k</v>
          </cell>
          <cell r="J171" t="str">
            <v>jose.silva@global.komatsu</v>
          </cell>
          <cell r="GT171" t="str">
            <v/>
          </cell>
        </row>
        <row r="172">
          <cell r="E172" t="str">
            <v>18.884.949-0</v>
          </cell>
          <cell r="J172" t="str">
            <v>j.vega@global.komatsu</v>
          </cell>
          <cell r="FD172">
            <v>46388</v>
          </cell>
          <cell r="GT172" t="str">
            <v>B</v>
          </cell>
        </row>
        <row r="173">
          <cell r="E173" t="str">
            <v>20.766.075-2</v>
          </cell>
          <cell r="J173" t="str">
            <v>josue.gonzalez@global.komatsu</v>
          </cell>
          <cell r="GT173" t="str">
            <v/>
          </cell>
        </row>
        <row r="174">
          <cell r="E174" t="str">
            <v>16.705.838-8</v>
          </cell>
          <cell r="J174" t="str">
            <v>juan.inarejo@cummins.cl</v>
          </cell>
          <cell r="GT174" t="str">
            <v>B - D - Sin licencia</v>
          </cell>
        </row>
        <row r="175">
          <cell r="E175" t="str">
            <v>16.602.123-5</v>
          </cell>
          <cell r="J175" t="str">
            <v>j.araya.a@global.komatsu</v>
          </cell>
          <cell r="FD175">
            <v>46388</v>
          </cell>
          <cell r="GT175" t="str">
            <v>B</v>
          </cell>
        </row>
        <row r="176">
          <cell r="E176" t="str">
            <v>22.198.005-0</v>
          </cell>
          <cell r="J176" t="str">
            <v>juan.bahamondes.g@global.komatsu</v>
          </cell>
          <cell r="GT176" t="str">
            <v/>
          </cell>
        </row>
        <row r="177">
          <cell r="E177" t="str">
            <v>15.000.986-3</v>
          </cell>
          <cell r="J177" t="str">
            <v>juan.caquisane@global.komatsu</v>
          </cell>
          <cell r="GT177" t="str">
            <v/>
          </cell>
        </row>
        <row r="178">
          <cell r="E178" t="str">
            <v>18.539.817-K</v>
          </cell>
          <cell r="J178" t="str">
            <v>juan.fuenzalida@global.komatsu</v>
          </cell>
          <cell r="GT178" t="str">
            <v/>
          </cell>
        </row>
        <row r="179">
          <cell r="E179" t="str">
            <v>16.326.687-3</v>
          </cell>
          <cell r="J179" t="str">
            <v>j.martinez@global.komatsu</v>
          </cell>
          <cell r="GT179" t="str">
            <v>B</v>
          </cell>
        </row>
        <row r="180">
          <cell r="E180" t="str">
            <v>23.692.021-6</v>
          </cell>
          <cell r="J180" t="str">
            <v>juan.mejia@global.komatsu</v>
          </cell>
          <cell r="FD180">
            <v>46388</v>
          </cell>
          <cell r="GT180" t="str">
            <v>B</v>
          </cell>
        </row>
        <row r="181">
          <cell r="E181" t="str">
            <v>19.099.699-9</v>
          </cell>
          <cell r="J181" t="str">
            <v>juan.palavicino@global.komatsu</v>
          </cell>
          <cell r="FF181">
            <v>46388</v>
          </cell>
          <cell r="GT181" t="str">
            <v>B - D</v>
          </cell>
        </row>
        <row r="182">
          <cell r="E182" t="str">
            <v>17.536.144-8</v>
          </cell>
          <cell r="J182" t="str">
            <v>juan.plaza@global.komatsu</v>
          </cell>
          <cell r="FD182">
            <v>46388</v>
          </cell>
          <cell r="GT182" t="str">
            <v>B - D - A4</v>
          </cell>
        </row>
        <row r="183">
          <cell r="E183" t="str">
            <v>14.109.358-4</v>
          </cell>
          <cell r="J183" t="str">
            <v>juan.valenzuela.s@global.komatsu</v>
          </cell>
          <cell r="FD183">
            <v>46388</v>
          </cell>
          <cell r="GT183" t="str">
            <v>B - D - A4</v>
          </cell>
        </row>
        <row r="184">
          <cell r="E184" t="str">
            <v>16.226.957-7</v>
          </cell>
          <cell r="J184" t="str">
            <v>juan.vallejos@global.komatsu</v>
          </cell>
          <cell r="GT184" t="str">
            <v>B - D</v>
          </cell>
        </row>
        <row r="185">
          <cell r="E185" t="str">
            <v>16.595.622-2</v>
          </cell>
          <cell r="J185" t="str">
            <v>juan.vera.v@global.komatsu</v>
          </cell>
          <cell r="GT185" t="str">
            <v>B</v>
          </cell>
        </row>
        <row r="186">
          <cell r="E186" t="str">
            <v>19.552.202-2</v>
          </cell>
          <cell r="J186" t="str">
            <v>juan.vilca@global.komatsu</v>
          </cell>
          <cell r="GT186" t="str">
            <v/>
          </cell>
        </row>
        <row r="187">
          <cell r="E187" t="str">
            <v>20.526.016-1</v>
          </cell>
          <cell r="J187" t="str">
            <v>juvenal.cruz@global.komatsu</v>
          </cell>
          <cell r="GT187" t="str">
            <v>B</v>
          </cell>
        </row>
        <row r="188">
          <cell r="E188" t="str">
            <v>16.259.980-1</v>
          </cell>
          <cell r="J188" t="str">
            <v>karen.olguin@global.komatsu</v>
          </cell>
          <cell r="GT188" t="str">
            <v/>
          </cell>
        </row>
        <row r="189">
          <cell r="E189" t="str">
            <v>12.427.793-0</v>
          </cell>
          <cell r="J189" t="str">
            <v>lenin.adones@global.komatsu</v>
          </cell>
          <cell r="GT189" t="str">
            <v>B - D - A4</v>
          </cell>
        </row>
        <row r="190">
          <cell r="E190" t="str">
            <v>18.184.333-0</v>
          </cell>
          <cell r="J190" t="str">
            <v>lucy.cortes@global.komatsu</v>
          </cell>
          <cell r="FD190">
            <v>46388</v>
          </cell>
          <cell r="FF190">
            <v>46388</v>
          </cell>
          <cell r="GT190" t="str">
            <v>B</v>
          </cell>
        </row>
        <row r="191">
          <cell r="E191" t="str">
            <v>15.513.831-9</v>
          </cell>
          <cell r="J191" t="str">
            <v>luis.alvarez.p@global.komatsu</v>
          </cell>
          <cell r="GT191" t="str">
            <v>B</v>
          </cell>
        </row>
        <row r="192">
          <cell r="E192" t="str">
            <v>16.274.559-K</v>
          </cell>
          <cell r="J192" t="str">
            <v>luis.castillo.s@global.komatsu</v>
          </cell>
          <cell r="FD192">
            <v>46388</v>
          </cell>
          <cell r="FF192">
            <v>46388</v>
          </cell>
          <cell r="GT192" t="str">
            <v>B - D - A4</v>
          </cell>
        </row>
        <row r="193">
          <cell r="E193" t="str">
            <v>14.706.187-0</v>
          </cell>
          <cell r="J193" t="str">
            <v>luis.choque@cummins.cl</v>
          </cell>
          <cell r="GT193" t="str">
            <v>B - D - Sin licencia</v>
          </cell>
        </row>
        <row r="194">
          <cell r="E194" t="str">
            <v>17.715.371-0</v>
          </cell>
          <cell r="J194" t="str">
            <v>luis.contreras.a@global.komatsu</v>
          </cell>
          <cell r="FD194">
            <v>46388</v>
          </cell>
          <cell r="GT194" t="str">
            <v>B - D - A4</v>
          </cell>
        </row>
        <row r="195">
          <cell r="E195" t="str">
            <v>13.181.955-2</v>
          </cell>
          <cell r="J195" t="str">
            <v>luis.duran.m@global.komatsu</v>
          </cell>
          <cell r="FF195">
            <v>46388</v>
          </cell>
          <cell r="GT195" t="str">
            <v>B - D</v>
          </cell>
        </row>
        <row r="196">
          <cell r="E196" t="str">
            <v>19.864.093-K</v>
          </cell>
          <cell r="J196" t="str">
            <v>luis.galleguillos@global.komatsu</v>
          </cell>
          <cell r="GT196" t="str">
            <v/>
          </cell>
        </row>
        <row r="197">
          <cell r="E197" t="str">
            <v>18.371.885-1</v>
          </cell>
          <cell r="J197" t="str">
            <v>luis.ly@global.komatsu</v>
          </cell>
          <cell r="GT197" t="str">
            <v>B - D - A4</v>
          </cell>
        </row>
        <row r="198">
          <cell r="E198" t="str">
            <v>16.110.624-0</v>
          </cell>
          <cell r="J198" t="str">
            <v xml:space="preserve">Luis.nunez.rojas@global.Komatsu </v>
          </cell>
          <cell r="GT198" t="str">
            <v>B - D - A4</v>
          </cell>
        </row>
        <row r="199">
          <cell r="E199" t="str">
            <v>18.684.183-2</v>
          </cell>
          <cell r="J199" t="str">
            <v>luis.pereira.b@global.komatsu</v>
          </cell>
          <cell r="GT199" t="str">
            <v>B</v>
          </cell>
        </row>
        <row r="200">
          <cell r="E200" t="str">
            <v>14.308.582-1</v>
          </cell>
          <cell r="J200" t="str">
            <v>luis.placencia@global.komatsu</v>
          </cell>
          <cell r="GT200" t="str">
            <v>B</v>
          </cell>
        </row>
        <row r="201">
          <cell r="E201" t="str">
            <v>19.253.066-0</v>
          </cell>
          <cell r="J201" t="str">
            <v>l.reyes@global.komatsu</v>
          </cell>
          <cell r="FF201">
            <v>46388</v>
          </cell>
          <cell r="GT201" t="str">
            <v>B</v>
          </cell>
        </row>
        <row r="202">
          <cell r="E202" t="str">
            <v>17.655.977-2</v>
          </cell>
          <cell r="J202" t="str">
            <v>luis.veas@global.komatsu</v>
          </cell>
          <cell r="GT202" t="str">
            <v/>
          </cell>
        </row>
        <row r="203">
          <cell r="E203" t="str">
            <v>25.252.912-8</v>
          </cell>
          <cell r="J203" t="str">
            <v>luisa.parra@global.komatsu</v>
          </cell>
          <cell r="GT203" t="str">
            <v/>
          </cell>
        </row>
        <row r="204">
          <cell r="E204" t="str">
            <v>18.483.911-3</v>
          </cell>
          <cell r="J204" t="str">
            <v>luismer.marin@global.komatsu</v>
          </cell>
          <cell r="FD204">
            <v>46388</v>
          </cell>
          <cell r="GT204" t="str">
            <v>B - D</v>
          </cell>
        </row>
        <row r="205">
          <cell r="E205" t="str">
            <v>20.553.857-7</v>
          </cell>
          <cell r="J205" t="str">
            <v>lukas.herrada@global.komatsu</v>
          </cell>
          <cell r="GT205" t="str">
            <v>B</v>
          </cell>
        </row>
        <row r="206">
          <cell r="E206" t="str">
            <v>11.101.351-9</v>
          </cell>
          <cell r="J206" t="str">
            <v>macario.mamani.g@global.komatsu</v>
          </cell>
          <cell r="FD206">
            <v>46388</v>
          </cell>
          <cell r="GT206" t="str">
            <v>B</v>
          </cell>
        </row>
        <row r="207">
          <cell r="E207" t="str">
            <v>19.398.640-4</v>
          </cell>
          <cell r="J207" t="str">
            <v>maite.hidalgo@global.komatsu</v>
          </cell>
          <cell r="GT207" t="str">
            <v/>
          </cell>
        </row>
        <row r="208">
          <cell r="E208" t="str">
            <v>16.280.945-8</v>
          </cell>
          <cell r="J208" t="str">
            <v>manuel.quiroz@global.komatsu</v>
          </cell>
          <cell r="FF208">
            <v>46388</v>
          </cell>
          <cell r="GT208" t="str">
            <v>B</v>
          </cell>
        </row>
        <row r="209">
          <cell r="E209" t="str">
            <v>14.393.784-4</v>
          </cell>
          <cell r="J209" t="str">
            <v>manuel.ramirez.o@global.komatsu</v>
          </cell>
          <cell r="GT209" t="str">
            <v>B - A4</v>
          </cell>
        </row>
        <row r="210">
          <cell r="E210" t="str">
            <v>13.418.195-8</v>
          </cell>
          <cell r="J210" t="str">
            <v>jair.diaz@cummins.cl</v>
          </cell>
          <cell r="GT210" t="str">
            <v>B - D - Sin licencia</v>
          </cell>
        </row>
        <row r="211">
          <cell r="E211" t="str">
            <v>20.228.794-8</v>
          </cell>
          <cell r="J211" t="str">
            <v>marcelo.ogalde@global.komatsu </v>
          </cell>
          <cell r="FD211">
            <v>46388</v>
          </cell>
          <cell r="GT211" t="str">
            <v>B - D</v>
          </cell>
        </row>
        <row r="212">
          <cell r="E212" t="str">
            <v>19.147.854-1</v>
          </cell>
          <cell r="J212" t="str">
            <v>marcelo.osses@global.komatsu</v>
          </cell>
          <cell r="GT212" t="str">
            <v>B</v>
          </cell>
        </row>
        <row r="213">
          <cell r="E213" t="str">
            <v>19.205.023-5</v>
          </cell>
          <cell r="J213" t="str">
            <v>marcelo.reinoso@global.komatsu</v>
          </cell>
          <cell r="GT213" t="str">
            <v>B</v>
          </cell>
        </row>
        <row r="214">
          <cell r="E214" t="str">
            <v>20.966.538-7</v>
          </cell>
          <cell r="J214" t="str">
            <v>Marcelo.rojas@global.komatsu</v>
          </cell>
          <cell r="GT214" t="str">
            <v>B</v>
          </cell>
        </row>
        <row r="215">
          <cell r="E215" t="str">
            <v>19.969.028-0</v>
          </cell>
          <cell r="J215" t="str">
            <v>marco.alvarez@global.komatsu</v>
          </cell>
          <cell r="GT215" t="str">
            <v>B - D - A4</v>
          </cell>
        </row>
        <row r="216">
          <cell r="E216" t="str">
            <v>20.525.806-K</v>
          </cell>
          <cell r="J216" t="str">
            <v>marco.pasten.r@global.komatsu</v>
          </cell>
          <cell r="GT216" t="str">
            <v/>
          </cell>
        </row>
        <row r="217">
          <cell r="E217" t="str">
            <v>10.487.640-4</v>
          </cell>
          <cell r="J217" t="str">
            <v>marco.pinto@global.komatsu</v>
          </cell>
          <cell r="GT217" t="str">
            <v>B</v>
          </cell>
        </row>
        <row r="218">
          <cell r="E218" t="str">
            <v>17.174.175-0</v>
          </cell>
          <cell r="J218" t="str">
            <v>marcos.moya@global.komatsu</v>
          </cell>
          <cell r="FD218">
            <v>46388</v>
          </cell>
          <cell r="FF218">
            <v>46388</v>
          </cell>
          <cell r="GT218" t="str">
            <v>B</v>
          </cell>
        </row>
        <row r="219">
          <cell r="E219" t="str">
            <v>10.050.588-6</v>
          </cell>
          <cell r="J219" t="str">
            <v>mario.becerra@global.komatsu</v>
          </cell>
          <cell r="GT219" t="str">
            <v>B - D - A4</v>
          </cell>
        </row>
        <row r="220">
          <cell r="E220" t="str">
            <v>17.656.770-8</v>
          </cell>
          <cell r="J220" t="str">
            <v>mario.morales@global.komatsu</v>
          </cell>
          <cell r="FF220">
            <v>46388</v>
          </cell>
          <cell r="GT220" t="str">
            <v>B - A4</v>
          </cell>
        </row>
        <row r="221">
          <cell r="E221" t="str">
            <v>17.744.634-3</v>
          </cell>
          <cell r="J221" t="str">
            <v>mario.torres@global.komatsu</v>
          </cell>
          <cell r="GT221" t="str">
            <v/>
          </cell>
        </row>
        <row r="222">
          <cell r="E222" t="str">
            <v>10.978.655-1</v>
          </cell>
          <cell r="J222" t="str">
            <v>mario.vega.m@global.komatsu</v>
          </cell>
          <cell r="GT222" t="str">
            <v>B</v>
          </cell>
        </row>
        <row r="223">
          <cell r="E223" t="str">
            <v>14.553.839-4</v>
          </cell>
          <cell r="J223" t="str">
            <v>marjorie.munoz@global.komatsu</v>
          </cell>
          <cell r="GT223" t="str">
            <v/>
          </cell>
        </row>
        <row r="224">
          <cell r="E224" t="str">
            <v>21.403.466-2</v>
          </cell>
          <cell r="J224" t="str">
            <v>matias.aguilera.v@global.komatsu</v>
          </cell>
          <cell r="GT224" t="str">
            <v/>
          </cell>
        </row>
        <row r="225">
          <cell r="E225" t="str">
            <v>15.149.160-K</v>
          </cell>
          <cell r="J225" t="str">
            <v>matias.flores@global.komatsu</v>
          </cell>
          <cell r="GT225" t="str">
            <v/>
          </cell>
        </row>
        <row r="226">
          <cell r="E226" t="str">
            <v>19.694.614-4</v>
          </cell>
          <cell r="J226" t="str">
            <v>Matias.gonzalez.v@global.komatsu</v>
          </cell>
          <cell r="GT226" t="str">
            <v>B</v>
          </cell>
        </row>
        <row r="227">
          <cell r="E227" t="str">
            <v>20.167.551-0</v>
          </cell>
          <cell r="J227" t="str">
            <v>matias.tapia.h@global.komatsu</v>
          </cell>
          <cell r="GT227" t="str">
            <v/>
          </cell>
        </row>
        <row r="228">
          <cell r="E228" t="str">
            <v>16.059.741-0</v>
          </cell>
          <cell r="J228" t="str">
            <v>mauricio.aguilera.t@global.komatsu</v>
          </cell>
          <cell r="GT228" t="str">
            <v>B - D - A4</v>
          </cell>
        </row>
        <row r="229">
          <cell r="E229" t="str">
            <v>12.947.052-6</v>
          </cell>
          <cell r="J229" t="str">
            <v>mauricio.guerra@global.komatsu</v>
          </cell>
          <cell r="GT229" t="str">
            <v>B - D - A4</v>
          </cell>
        </row>
        <row r="230">
          <cell r="E230" t="str">
            <v>19.812.358-7</v>
          </cell>
          <cell r="J230" t="str">
            <v>maximiliano.salinas@cummins.cl</v>
          </cell>
          <cell r="GT230" t="str">
            <v>B - D - Sin licencia</v>
          </cell>
        </row>
        <row r="231">
          <cell r="E231" t="str">
            <v>17.655.738-9</v>
          </cell>
          <cell r="J231" t="str">
            <v>miguel.estay@global.komatsu</v>
          </cell>
          <cell r="GT231" t="str">
            <v>B</v>
          </cell>
        </row>
        <row r="232">
          <cell r="E232" t="str">
            <v>17.093.556-K</v>
          </cell>
          <cell r="J232" t="str">
            <v>miguel.patino.c@cummins.cl</v>
          </cell>
          <cell r="GT232" t="str">
            <v>Sin licencia - Sin licencia - Sin licencia</v>
          </cell>
        </row>
        <row r="233">
          <cell r="E233" t="str">
            <v>13.417.664-4</v>
          </cell>
          <cell r="J233" t="str">
            <v>miguel.rojas@global.komatsu</v>
          </cell>
          <cell r="GT233" t="str">
            <v>B - D - A4</v>
          </cell>
        </row>
        <row r="234">
          <cell r="E234" t="str">
            <v>20.274.683-7</v>
          </cell>
          <cell r="J234" t="str">
            <v>miguel.sierra.r@global.komatsu</v>
          </cell>
          <cell r="GT234" t="str">
            <v>B</v>
          </cell>
        </row>
        <row r="235">
          <cell r="E235" t="str">
            <v>13.632.538-8</v>
          </cell>
          <cell r="J235" t="str">
            <v>milan.godoy@global.komatsu</v>
          </cell>
          <cell r="FD235">
            <v>46388</v>
          </cell>
          <cell r="GT235" t="str">
            <v>B - D - A4</v>
          </cell>
        </row>
        <row r="236">
          <cell r="E236" t="str">
            <v>15.710.636-8</v>
          </cell>
          <cell r="J236" t="str">
            <v>milton.lobera@global.komatsu</v>
          </cell>
          <cell r="GT236" t="str">
            <v>B - A4</v>
          </cell>
        </row>
        <row r="237">
          <cell r="E237" t="str">
            <v>13.358.502-8</v>
          </cell>
          <cell r="J237" t="str">
            <v>milton.rojas@global.komatsu</v>
          </cell>
          <cell r="GT237" t="str">
            <v>B - D - A4</v>
          </cell>
        </row>
        <row r="238">
          <cell r="E238" t="str">
            <v>16.565.997-K</v>
          </cell>
          <cell r="J238" t="str">
            <v>natalia.antequera.a@global.komatsu</v>
          </cell>
          <cell r="GT238" t="str">
            <v/>
          </cell>
        </row>
        <row r="239">
          <cell r="E239" t="str">
            <v>21.387.458-6</v>
          </cell>
          <cell r="J239" t="str">
            <v>natalia.urrelo@global.komatsu</v>
          </cell>
          <cell r="GT239" t="str">
            <v/>
          </cell>
        </row>
        <row r="240">
          <cell r="E240" t="str">
            <v>14.413.359-5</v>
          </cell>
          <cell r="J240" t="str">
            <v>nelly.echeverria@global.komatsu</v>
          </cell>
          <cell r="GT240" t="str">
            <v/>
          </cell>
        </row>
        <row r="241">
          <cell r="E241" t="str">
            <v>17.846.810-3</v>
          </cell>
          <cell r="J241" t="str">
            <v>nelson.tapia@global.komatsu</v>
          </cell>
          <cell r="FF241">
            <v>46388</v>
          </cell>
          <cell r="GT241" t="str">
            <v>B</v>
          </cell>
        </row>
        <row r="242">
          <cell r="E242" t="str">
            <v>19.252.860-7</v>
          </cell>
          <cell r="J242" t="str">
            <v>nestor.cruz.g@global.komatsu</v>
          </cell>
          <cell r="FD242">
            <v>46388</v>
          </cell>
          <cell r="FF242">
            <v>46388</v>
          </cell>
          <cell r="GT242" t="str">
            <v>B</v>
          </cell>
        </row>
        <row r="243">
          <cell r="E243" t="str">
            <v>14.104.128-2</v>
          </cell>
          <cell r="J243" t="str">
            <v>nibaldo.rojas@global.komatsu</v>
          </cell>
          <cell r="GT243" t="str">
            <v>B - D - A4</v>
          </cell>
        </row>
        <row r="244">
          <cell r="E244" t="str">
            <v>21.579.333-8</v>
          </cell>
          <cell r="J244" t="str">
            <v>nickole.orellana@cummins.cl</v>
          </cell>
          <cell r="GT244" t="str">
            <v>Sin licencia - Sin licencia - Sin licencia</v>
          </cell>
        </row>
        <row r="245">
          <cell r="E245" t="str">
            <v>20.352.538-9</v>
          </cell>
          <cell r="J245" t="str">
            <v>nicolas.acosta.g@cummins.cl</v>
          </cell>
          <cell r="GT245" t="str">
            <v>sin licencia - D - Sin licencia</v>
          </cell>
        </row>
        <row r="246">
          <cell r="E246" t="str">
            <v>20.381.171-3</v>
          </cell>
          <cell r="J246" t="str">
            <v>nicolas.cifuentes@global.komatsu</v>
          </cell>
          <cell r="GT246" t="str">
            <v>B</v>
          </cell>
        </row>
        <row r="247">
          <cell r="E247" t="str">
            <v>20.348.504-2</v>
          </cell>
          <cell r="J247" t="str">
            <v>nicolas.maldonado@global.komatsu</v>
          </cell>
          <cell r="GT247" t="str">
            <v/>
          </cell>
        </row>
        <row r="248">
          <cell r="E248" t="str">
            <v>19.869.128-3</v>
          </cell>
          <cell r="J248" t="str">
            <v>nicolas.miranda@global.komatsu</v>
          </cell>
          <cell r="GT248" t="str">
            <v>B</v>
          </cell>
        </row>
        <row r="249">
          <cell r="E249" t="str">
            <v>19.432.300-K</v>
          </cell>
          <cell r="J249" t="str">
            <v>nicolas.quezada@global.komatsu</v>
          </cell>
          <cell r="GT249" t="str">
            <v>B</v>
          </cell>
        </row>
        <row r="250">
          <cell r="E250" t="str">
            <v>20.352.297-5</v>
          </cell>
          <cell r="J250" t="str">
            <v>nikolas.monje@global.komatsu</v>
          </cell>
          <cell r="FD250">
            <v>46388</v>
          </cell>
          <cell r="GT250" t="str">
            <v>B - D</v>
          </cell>
        </row>
        <row r="251">
          <cell r="E251" t="str">
            <v>11.932.173-5</v>
          </cell>
          <cell r="J251" t="str">
            <v>nilsson.becerra@global.komatsu</v>
          </cell>
          <cell r="FF251">
            <v>46388</v>
          </cell>
          <cell r="GT251" t="str">
            <v>B - D</v>
          </cell>
        </row>
        <row r="252">
          <cell r="E252" t="str">
            <v>18.739.471-6</v>
          </cell>
          <cell r="J252" t="str">
            <v>omar.ortega.s@global.komatsu</v>
          </cell>
          <cell r="GT252" t="str">
            <v>B - D</v>
          </cell>
        </row>
        <row r="253">
          <cell r="E253" t="str">
            <v>14.382.887-5</v>
          </cell>
          <cell r="J253" t="str">
            <v>pablo.aravena@global.komatsu</v>
          </cell>
          <cell r="GT253" t="str">
            <v>B - A4</v>
          </cell>
        </row>
        <row r="254">
          <cell r="E254" t="str">
            <v>16.549.827-5</v>
          </cell>
          <cell r="J254" t="str">
            <v>pablo.araya.r@global.komatsu</v>
          </cell>
          <cell r="FF254">
            <v>46388</v>
          </cell>
          <cell r="GT254" t="str">
            <v>B - D</v>
          </cell>
        </row>
        <row r="255">
          <cell r="E255" t="str">
            <v>14.572.120-2</v>
          </cell>
          <cell r="J255" t="str">
            <v>pablo.bautista@cummins.cl</v>
          </cell>
          <cell r="GT255" t="str">
            <v>Sin licencia - Sin licencia - Sin licencia</v>
          </cell>
        </row>
        <row r="256">
          <cell r="E256" t="str">
            <v>19.824.676-K</v>
          </cell>
          <cell r="J256" t="str">
            <v>pablo.michea@global.komatsu</v>
          </cell>
          <cell r="FD256">
            <v>46388</v>
          </cell>
          <cell r="FF256">
            <v>46388</v>
          </cell>
          <cell r="GT256" t="str">
            <v>B</v>
          </cell>
        </row>
        <row r="257">
          <cell r="E257" t="str">
            <v>16.441.116-8</v>
          </cell>
          <cell r="J257" t="str">
            <v>pablo.vera.g@global.komatsu</v>
          </cell>
          <cell r="GT257" t="str">
            <v/>
          </cell>
        </row>
        <row r="258">
          <cell r="E258" t="str">
            <v>19.955.138-8</v>
          </cell>
          <cell r="J258" t="str">
            <v>patricio.aros.l@global.komatsu</v>
          </cell>
          <cell r="GT258" t="str">
            <v/>
          </cell>
        </row>
        <row r="259">
          <cell r="E259" t="str">
            <v>10.174.644-5</v>
          </cell>
          <cell r="J259" t="str">
            <v>p.rojas@global.komatsu</v>
          </cell>
          <cell r="GT259" t="str">
            <v>B</v>
          </cell>
        </row>
        <row r="260">
          <cell r="E260" t="str">
            <v>20.734.361-7</v>
          </cell>
          <cell r="J260" t="str">
            <v>patricio.zamora.z@cummins.cl</v>
          </cell>
          <cell r="GT260" t="str">
            <v>Sin licencia - Sin licencia - Sin licencia</v>
          </cell>
        </row>
        <row r="261">
          <cell r="E261" t="str">
            <v>19.357.254-5</v>
          </cell>
          <cell r="J261" t="str">
            <v>patricio.zegarra@global.komatsu</v>
          </cell>
          <cell r="GT261" t="str">
            <v>B - D</v>
          </cell>
        </row>
        <row r="262">
          <cell r="E262" t="str">
            <v>14.568.854-K</v>
          </cell>
          <cell r="J262" t="str">
            <v>p.araneda@global.komatsu</v>
          </cell>
          <cell r="GT262" t="str">
            <v>B - D - A4</v>
          </cell>
        </row>
        <row r="263">
          <cell r="E263" t="str">
            <v>14.560.342-0</v>
          </cell>
          <cell r="J263" t="str">
            <v>pedro.araneda@global.komatsu</v>
          </cell>
          <cell r="GT263" t="str">
            <v>B - D - A4</v>
          </cell>
        </row>
        <row r="264">
          <cell r="E264" t="str">
            <v>20.751.658-9</v>
          </cell>
          <cell r="J264" t="str">
            <v>pedro.araya@global.komatsu</v>
          </cell>
          <cell r="GT264" t="str">
            <v>B</v>
          </cell>
        </row>
        <row r="265">
          <cell r="E265" t="str">
            <v>20.561.647-0</v>
          </cell>
          <cell r="J265" t="str">
            <v>pedro.caviedes.v@global.komatsu</v>
          </cell>
          <cell r="GT265" t="str">
            <v/>
          </cell>
        </row>
        <row r="266">
          <cell r="E266" t="str">
            <v>18.503.272-8</v>
          </cell>
          <cell r="J266" t="str">
            <v>pedro.escobar@global.komatsu</v>
          </cell>
          <cell r="GT266" t="str">
            <v/>
          </cell>
        </row>
        <row r="267">
          <cell r="E267" t="str">
            <v>18.827.199-5</v>
          </cell>
          <cell r="J267" t="str">
            <v>pedro.jimenez@global.komatsu</v>
          </cell>
          <cell r="GT267" t="str">
            <v>B</v>
          </cell>
        </row>
        <row r="268">
          <cell r="E268" t="str">
            <v>24.098.819-k</v>
          </cell>
          <cell r="J268" t="str">
            <v>pedro.mamani.o@cummins.cl</v>
          </cell>
          <cell r="GT268" t="str">
            <v>B - D - Sin licencia</v>
          </cell>
        </row>
        <row r="269">
          <cell r="E269" t="str">
            <v>19.104.562-9</v>
          </cell>
          <cell r="J269" t="str">
            <v>pedro.miranda@global.komatsu</v>
          </cell>
          <cell r="GT269" t="str">
            <v>B</v>
          </cell>
        </row>
        <row r="270">
          <cell r="E270" t="str">
            <v>10.920.581-8</v>
          </cell>
          <cell r="J270" t="str">
            <v>pedro.ramirez@global.komatsu</v>
          </cell>
          <cell r="GT270" t="str">
            <v/>
          </cell>
        </row>
        <row r="271">
          <cell r="E271" t="str">
            <v>9.941.712-9</v>
          </cell>
          <cell r="J271" t="str">
            <v>ramiro.mamani@global.komatsu</v>
          </cell>
          <cell r="GT271" t="str">
            <v>B - D - A4</v>
          </cell>
        </row>
        <row r="272">
          <cell r="E272" t="str">
            <v>17.165.030-5</v>
          </cell>
          <cell r="J272" t="str">
            <v>ramon.canales@global.komatsu</v>
          </cell>
          <cell r="FF272">
            <v>46388</v>
          </cell>
          <cell r="GT272" t="str">
            <v>B - D - A4</v>
          </cell>
        </row>
        <row r="273">
          <cell r="E273" t="str">
            <v>16.565.094-8</v>
          </cell>
          <cell r="J273" t="str">
            <v>ramon.rojas.v@global.komatsu</v>
          </cell>
          <cell r="GT273" t="str">
            <v>B - D - A4</v>
          </cell>
        </row>
        <row r="274">
          <cell r="E274" t="str">
            <v>17.277.568-3</v>
          </cell>
          <cell r="J274" t="str">
            <v>raul.alquinta@global.komatsu</v>
          </cell>
          <cell r="GT274" t="str">
            <v/>
          </cell>
        </row>
        <row r="275">
          <cell r="E275" t="str">
            <v>17.644.439-8</v>
          </cell>
          <cell r="J275" t="str">
            <v>raul.lazcano.c@global.komatsu</v>
          </cell>
          <cell r="GT275" t="str">
            <v>B - D - A4</v>
          </cell>
        </row>
        <row r="276">
          <cell r="E276" t="str">
            <v>12.834.811-5</v>
          </cell>
          <cell r="J276" t="str">
            <v>rellco.ayca@global.komatsu</v>
          </cell>
          <cell r="FD276">
            <v>46388</v>
          </cell>
          <cell r="GT276" t="str">
            <v>B - D - A4</v>
          </cell>
        </row>
        <row r="277">
          <cell r="E277" t="str">
            <v>17.121.472-6</v>
          </cell>
          <cell r="J277" t="str">
            <v>renato.espinoza.s@global.komatsu</v>
          </cell>
          <cell r="GT277" t="str">
            <v/>
          </cell>
        </row>
        <row r="278">
          <cell r="E278" t="str">
            <v>19.898.803-0</v>
          </cell>
          <cell r="J278" t="str">
            <v>renzo.malagarriga@global.komatsu</v>
          </cell>
          <cell r="GT278" t="str">
            <v>B</v>
          </cell>
        </row>
        <row r="279">
          <cell r="E279" t="str">
            <v>16.352.371-K</v>
          </cell>
          <cell r="J279" t="str">
            <v>ricardo.campillay@global.komatsu</v>
          </cell>
          <cell r="GT279" t="str">
            <v>B - A4</v>
          </cell>
        </row>
        <row r="280">
          <cell r="E280" t="str">
            <v>19.206.106-7</v>
          </cell>
          <cell r="J280" t="str">
            <v>roberto.celti@cummins.cl</v>
          </cell>
          <cell r="GT280" t="str">
            <v>Sin licencia - Sin licencia - Sin licencia</v>
          </cell>
        </row>
        <row r="281">
          <cell r="E281" t="str">
            <v>18.972.102-1</v>
          </cell>
          <cell r="J281" t="str">
            <v>roberto.pasten@global.komatsu</v>
          </cell>
          <cell r="GT281" t="str">
            <v>B</v>
          </cell>
        </row>
        <row r="282">
          <cell r="E282" t="str">
            <v>17.245.903-K</v>
          </cell>
          <cell r="J282" t="str">
            <v>rodrigo.acuna@global.komatsu</v>
          </cell>
          <cell r="GT282" t="str">
            <v/>
          </cell>
        </row>
        <row r="283">
          <cell r="E283" t="str">
            <v>18.710.278-2</v>
          </cell>
          <cell r="J283" t="str">
            <v>r.aranda@global.komatsu</v>
          </cell>
          <cell r="FD283">
            <v>46388</v>
          </cell>
          <cell r="GT283" t="str">
            <v>B - A4</v>
          </cell>
        </row>
        <row r="284">
          <cell r="E284" t="str">
            <v>18.125.375-4</v>
          </cell>
          <cell r="J284" t="str">
            <v>rodrigo.cuisa@global.komatsu</v>
          </cell>
          <cell r="GT284" t="str">
            <v>B - D - A4</v>
          </cell>
        </row>
        <row r="285">
          <cell r="E285" t="str">
            <v>19.692.071-4</v>
          </cell>
          <cell r="J285" t="str">
            <v>rodrigo.diaz@global.komatsu</v>
          </cell>
          <cell r="FF285">
            <v>46388</v>
          </cell>
          <cell r="GT285" t="str">
            <v>B</v>
          </cell>
        </row>
        <row r="286">
          <cell r="E286" t="str">
            <v>15.947.993-5</v>
          </cell>
          <cell r="J286" t="str">
            <v>rodrigo.linares@global.komatsu</v>
          </cell>
          <cell r="GT286" t="str">
            <v>B - D - A4</v>
          </cell>
        </row>
        <row r="287">
          <cell r="E287" t="str">
            <v>13.632.774-7</v>
          </cell>
          <cell r="J287" t="str">
            <v>r.rojas@global.komatsu</v>
          </cell>
          <cell r="GT287" t="str">
            <v/>
          </cell>
        </row>
        <row r="288">
          <cell r="E288" t="str">
            <v>17.093.275-7</v>
          </cell>
          <cell r="J288" t="str">
            <v>samuel.jofre@global.komatsu</v>
          </cell>
          <cell r="FF288">
            <v>46388</v>
          </cell>
          <cell r="GT288" t="str">
            <v>B - En proceso</v>
          </cell>
        </row>
        <row r="289">
          <cell r="E289" t="str">
            <v>18.521.278-5</v>
          </cell>
          <cell r="J289" t="str">
            <v>samuel.rivera@global.komatsu</v>
          </cell>
          <cell r="GT289" t="str">
            <v>B - D</v>
          </cell>
        </row>
        <row r="290">
          <cell r="E290" t="str">
            <v>20.399.802-3</v>
          </cell>
          <cell r="J290" t="str">
            <v>santiago.patino.a@global.komatsu</v>
          </cell>
          <cell r="GT290" t="str">
            <v>B</v>
          </cell>
        </row>
        <row r="291">
          <cell r="E291" t="str">
            <v>19.552.493-9</v>
          </cell>
          <cell r="J291" t="str">
            <v>scott.llewellyn@global.komatsu</v>
          </cell>
          <cell r="GT291" t="str">
            <v>B - D</v>
          </cell>
        </row>
        <row r="292">
          <cell r="E292" t="str">
            <v>15.924.486-5</v>
          </cell>
          <cell r="J292" t="str">
            <v>sebastian.caucota@global.komatsu</v>
          </cell>
          <cell r="GT292" t="str">
            <v/>
          </cell>
        </row>
        <row r="293">
          <cell r="E293" t="str">
            <v>19.968.816-2</v>
          </cell>
          <cell r="J293" t="str">
            <v>sebastian.diaz@global.komatsu</v>
          </cell>
          <cell r="FD293">
            <v>46388</v>
          </cell>
          <cell r="FF293">
            <v>46388</v>
          </cell>
          <cell r="GT293" t="str">
            <v/>
          </cell>
        </row>
        <row r="294">
          <cell r="E294" t="str">
            <v>19.373.808-7</v>
          </cell>
          <cell r="J294" t="str">
            <v>sebastian.montalban@global.komatsu</v>
          </cell>
          <cell r="GT294" t="str">
            <v>B</v>
          </cell>
        </row>
        <row r="295">
          <cell r="E295" t="str">
            <v>17.093.254-4</v>
          </cell>
          <cell r="J295" t="str">
            <v>sebastian.reygada.c@global.komatsu</v>
          </cell>
          <cell r="GT295" t="str">
            <v>B - D - A4</v>
          </cell>
        </row>
        <row r="296">
          <cell r="E296" t="str">
            <v>16.927.573-4</v>
          </cell>
          <cell r="J296" t="str">
            <v>s.salinas@global.komatsu</v>
          </cell>
          <cell r="GT296" t="str">
            <v/>
          </cell>
        </row>
        <row r="297">
          <cell r="E297" t="str">
            <v>20.274.345-5</v>
          </cell>
          <cell r="J297" t="str">
            <v>sebastian.soza@global.komatsu</v>
          </cell>
          <cell r="GT297" t="str">
            <v/>
          </cell>
        </row>
        <row r="298">
          <cell r="E298" t="str">
            <v>20.352.648-2</v>
          </cell>
          <cell r="J298" t="str">
            <v>sebastian.tarque@global.komatsu</v>
          </cell>
          <cell r="FD298">
            <v>45125</v>
          </cell>
          <cell r="FF298">
            <v>46388</v>
          </cell>
          <cell r="GT298" t="str">
            <v/>
          </cell>
        </row>
        <row r="299">
          <cell r="E299" t="str">
            <v>20.911.553-0</v>
          </cell>
          <cell r="J299" t="str">
            <v>sebastian.valenzuela.c@global.komatsu</v>
          </cell>
          <cell r="GT299" t="str">
            <v>B</v>
          </cell>
        </row>
        <row r="300">
          <cell r="E300" t="str">
            <v>17.828.739-7</v>
          </cell>
          <cell r="J300" t="str">
            <v>sebastian.villela@global.komatsu</v>
          </cell>
          <cell r="GT300" t="str">
            <v>B</v>
          </cell>
        </row>
        <row r="301">
          <cell r="E301" t="str">
            <v>19.496.336-K</v>
          </cell>
          <cell r="J301" t="str">
            <v>sergio.rojas@global.komatsu</v>
          </cell>
          <cell r="GT301" t="str">
            <v/>
          </cell>
        </row>
        <row r="302">
          <cell r="E302" t="str">
            <v>10.628.033-9</v>
          </cell>
          <cell r="J302" t="str">
            <v>sergio.zepeda.g@global.komatsu</v>
          </cell>
          <cell r="GT302" t="str">
            <v>B - D - A4</v>
          </cell>
        </row>
        <row r="303">
          <cell r="E303" t="str">
            <v>15.015.934-2</v>
          </cell>
          <cell r="J303" t="str">
            <v>sherman.milla@global.komatsu</v>
          </cell>
          <cell r="GT303" t="str">
            <v>B</v>
          </cell>
        </row>
        <row r="304">
          <cell r="E304" t="str">
            <v>16.623.732-7</v>
          </cell>
          <cell r="J304" t="str">
            <v>solange.rore@global.komatsu</v>
          </cell>
          <cell r="GT304" t="str">
            <v/>
          </cell>
        </row>
        <row r="305">
          <cell r="E305" t="str">
            <v>8.265.686-3</v>
          </cell>
          <cell r="J305" t="str">
            <v>teodoro.lobera@global.komatsu</v>
          </cell>
          <cell r="FF305">
            <v>46388</v>
          </cell>
          <cell r="GT305" t="str">
            <v>B - D - A4</v>
          </cell>
        </row>
        <row r="306">
          <cell r="E306" t="str">
            <v>16.833.226-2</v>
          </cell>
          <cell r="J306" t="str">
            <v>abel.solis.c@global.komatsu</v>
          </cell>
          <cell r="GT306" t="str">
            <v>B</v>
          </cell>
        </row>
        <row r="307">
          <cell r="E307" t="str">
            <v>21.717.144-K</v>
          </cell>
          <cell r="J307" t="str">
            <v>valentina.castillo.c@global.komatsu</v>
          </cell>
          <cell r="GT307" t="str">
            <v/>
          </cell>
        </row>
        <row r="308">
          <cell r="E308" t="str">
            <v>23.295.011-0</v>
          </cell>
          <cell r="J308" t="str">
            <v>valeska.martinez.c@global.komatsu</v>
          </cell>
          <cell r="GT308" t="str">
            <v/>
          </cell>
        </row>
        <row r="309">
          <cell r="E309" t="str">
            <v>16.869.300-1</v>
          </cell>
          <cell r="J309" t="str">
            <v>vanggy.alano@cummins.cl</v>
          </cell>
          <cell r="GT309" t="str">
            <v>B - D - Sin licencia</v>
          </cell>
        </row>
        <row r="310">
          <cell r="E310" t="str">
            <v>13.745.129-8</v>
          </cell>
          <cell r="J310" t="str">
            <v>victor.campillay@global.komatsu</v>
          </cell>
          <cell r="GT310" t="str">
            <v/>
          </cell>
        </row>
        <row r="311">
          <cell r="E311" t="str">
            <v>12.530.524-5</v>
          </cell>
          <cell r="J311" t="str">
            <v>victor.castillo.v@global.komatsu</v>
          </cell>
          <cell r="GT311" t="str">
            <v/>
          </cell>
        </row>
        <row r="312">
          <cell r="E312" t="str">
            <v>16.333.563-8</v>
          </cell>
          <cell r="J312" t="str">
            <v>victor.ibaceta@cummins.cl</v>
          </cell>
          <cell r="GT312" t="str">
            <v/>
          </cell>
        </row>
        <row r="313">
          <cell r="E313" t="str">
            <v>16.333.563-8</v>
          </cell>
          <cell r="J313" t="str">
            <v>victor.ibaceta@cummins.cl</v>
          </cell>
          <cell r="GT313" t="str">
            <v>Sin licencia - Sin licencia - Sin licencia</v>
          </cell>
        </row>
        <row r="314">
          <cell r="E314" t="str">
            <v>17.284.691-2</v>
          </cell>
          <cell r="J314" t="str">
            <v>victor.ordenes@global.komatsu</v>
          </cell>
          <cell r="FD314">
            <v>46388</v>
          </cell>
          <cell r="FF314">
            <v>46388</v>
          </cell>
          <cell r="GT314" t="str">
            <v>B - D</v>
          </cell>
        </row>
        <row r="315">
          <cell r="E315" t="str">
            <v>15.011.725-9</v>
          </cell>
          <cell r="J315" t="str">
            <v>victor.orozco@global.komatsu</v>
          </cell>
          <cell r="FF315">
            <v>46388</v>
          </cell>
          <cell r="GT315" t="str">
            <v>B</v>
          </cell>
        </row>
        <row r="316">
          <cell r="E316" t="str">
            <v>17.000.591-0</v>
          </cell>
          <cell r="J316" t="str">
            <v>victor.pena@global.komatsu</v>
          </cell>
          <cell r="GT316" t="str">
            <v>B - D</v>
          </cell>
        </row>
        <row r="317">
          <cell r="E317" t="str">
            <v>19.505.098-8</v>
          </cell>
          <cell r="J317" t="str">
            <v>victor.pizarro@global.komatsu</v>
          </cell>
          <cell r="FF317">
            <v>46388</v>
          </cell>
          <cell r="GT317" t="str">
            <v>B</v>
          </cell>
        </row>
        <row r="318">
          <cell r="E318" t="str">
            <v>20.441.738-5</v>
          </cell>
          <cell r="J318" t="str">
            <v>victor.salas.c@global.komatsu</v>
          </cell>
          <cell r="FD318">
            <v>46388</v>
          </cell>
          <cell r="GT318" t="str">
            <v>B - D</v>
          </cell>
        </row>
        <row r="319">
          <cell r="E319" t="str">
            <v>13.633.602-9</v>
          </cell>
          <cell r="J319" t="str">
            <v>vladimir.tapia.e@global.komatsu</v>
          </cell>
          <cell r="GT319" t="str">
            <v>B</v>
          </cell>
        </row>
        <row r="320">
          <cell r="E320" t="str">
            <v>18.520.943-1</v>
          </cell>
          <cell r="J320" t="str">
            <v>waldo.rivera@global.komatsu</v>
          </cell>
          <cell r="FD320">
            <v>46388</v>
          </cell>
          <cell r="GT320" t="str">
            <v>B</v>
          </cell>
        </row>
        <row r="321">
          <cell r="E321" t="str">
            <v>18.002.649-5</v>
          </cell>
          <cell r="J321" t="str">
            <v>w.cortes@global.komatsu</v>
          </cell>
          <cell r="GT321" t="str">
            <v>B</v>
          </cell>
        </row>
        <row r="322">
          <cell r="E322" t="str">
            <v>17.126.398-0</v>
          </cell>
          <cell r="J322" t="str">
            <v>yanela.soto@global.komatsu</v>
          </cell>
          <cell r="GT322" t="str">
            <v>B - D - A4</v>
          </cell>
        </row>
        <row r="323">
          <cell r="E323" t="str">
            <v>16.059.866-2</v>
          </cell>
          <cell r="J323" t="str">
            <v>yerko.arias@global.komatsu</v>
          </cell>
          <cell r="GT323" t="str">
            <v>B - D</v>
          </cell>
        </row>
        <row r="324">
          <cell r="E324" t="str">
            <v>15.947.812-2</v>
          </cell>
          <cell r="J324" t="str">
            <v>yerko.cardenas@global.komatsu</v>
          </cell>
          <cell r="GT324" t="str">
            <v>B</v>
          </cell>
        </row>
        <row r="325">
          <cell r="E325" t="str">
            <v>18.183.575-3</v>
          </cell>
          <cell r="J325" t="str">
            <v>yesenia.montoya@global.komatsu</v>
          </cell>
          <cell r="GT325" t="str">
            <v/>
          </cell>
        </row>
        <row r="326">
          <cell r="E326" t="str">
            <v>19.824.546-1</v>
          </cell>
          <cell r="J326" t="str">
            <v>yisel.farias@global.komatsu</v>
          </cell>
          <cell r="GT326" t="str">
            <v/>
          </cell>
        </row>
        <row r="327">
          <cell r="E327" t="str">
            <v>19.538.030-9</v>
          </cell>
          <cell r="J327" t="str">
            <v>yordan.saires@global.komatsu</v>
          </cell>
          <cell r="GT327" t="str">
            <v/>
          </cell>
        </row>
        <row r="328">
          <cell r="E328" t="str">
            <v>17.829.620-5</v>
          </cell>
          <cell r="J328" t="str">
            <v>yulian.flores@global.komatsu</v>
          </cell>
          <cell r="GT328" t="str">
            <v/>
          </cell>
        </row>
        <row r="329">
          <cell r="E329" t="str">
            <v>17.974.271-3</v>
          </cell>
          <cell r="J329" t="str">
            <v>zakk.elizalde@global.komatsu</v>
          </cell>
          <cell r="GT329" t="str">
            <v>B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3608BE-ACCE-47D4-A95C-9AB987945BD1}" name="Tabla1" displayName="Tabla1" ref="A1:K306" totalsRowShown="0" headerRowDxfId="16" headerRowBorderDxfId="15" tableBorderDxfId="14" totalsRowBorderDxfId="13">
  <autoFilter ref="A1:K306" xr:uid="{1B3608BE-ACCE-47D4-A95C-9AB987945BD1}"/>
  <tableColumns count="11">
    <tableColumn id="1" xr3:uid="{8269B300-019F-4898-BD0D-905361DDA702}" name="RUT " dataDxfId="12"/>
    <tableColumn id="2" xr3:uid="{B67DACCB-C67A-46B1-9F8B-8FE302D3C8D6}" name="NOMBRE COMPLETO" dataDxfId="11"/>
    <tableColumn id="6" xr3:uid="{BBFD1514-7025-44AD-ABFD-F7976DB80D4E}" name="ID" dataDxfId="10"/>
    <tableColumn id="3" xr3:uid="{1FB57E46-0910-4B87-8698-9D1422A35AB4}" name="CEDULA " dataDxfId="9">
      <calculatedColumnFormula>_xlfn.XLOOKUP(C:C,'[1]Reporte Flexible de Personas - '!$B:$B,'[1]Reporte Flexible de Personas - '!$E:$E)</calculatedColumnFormula>
    </tableColumn>
    <tableColumn id="4" xr3:uid="{172A488C-F665-4704-8D62-EDE4A2B3A265}" name="EXAMEN OCUPACIONAL " dataDxfId="8">
      <calculatedColumnFormula>_xlfn.XLOOKUP(C:C,'[1]Reporte Flexible de Personas - '!$B:$B,'[1]Reporte Flexible de Personas - '!$G:$G)</calculatedColumnFormula>
    </tableColumn>
    <tableColumn id="5" xr3:uid="{A89970F1-E400-4E95-B5B0-AD9D03481C03}" name="INDUCCIÓN HOMBRE NUEVO" dataDxfId="7">
      <calculatedColumnFormula>_xlfn.XLOOKUP(C:C,'[1]Reporte Flexible de Personas - '!$B:$B,'[1]Reporte Flexible de Personas - '!$I:$I)</calculatedColumnFormula>
    </tableColumn>
    <tableColumn id="7" xr3:uid="{7AE68831-60AF-4D2A-8506-052226251537}" name="LICENCIA MUNICIPAL " dataDxfId="6">
      <calculatedColumnFormula>_xlfn.XLOOKUP(C:C,[2]Planilla!$C:$C,[2]Planilla!$H:$H)</calculatedColumnFormula>
    </tableColumn>
    <tableColumn id="8" xr3:uid="{3896F23F-DBA4-426D-873D-2FA8B45D787A}" name="LICENCIA INTERNA " dataDxfId="5">
      <calculatedColumnFormula>_xlfn.XLOOKUP(C:C,[2]Planilla!$C:$C,[2]Planilla!$I:$I)</calculatedColumnFormula>
    </tableColumn>
    <tableColumn id="9" xr3:uid="{69D86B47-ED6B-41F5-9CB4-F616B5E01DDF}" name=" PSICOSENSOTÉCNICO" dataDxfId="4">
      <calculatedColumnFormula>_xlfn.XLOOKUP(C:C,[2]Planilla!$C:$C,[2]Planilla!$J:$J)</calculatedColumnFormula>
    </tableColumn>
    <tableColumn id="10" xr3:uid="{FFEC0391-71EF-45C6-A984-D083DE9A47DF}" name="TÉCNICO SODI" dataDxfId="3">
      <calculatedColumnFormula>_xlfn.XLOOKUP(A:A,[3]Matriz!$E:$E,[3]Matriz!$FD:$FD)</calculatedColumnFormula>
    </tableColumn>
    <tableColumn id="11" xr3:uid="{3D70B366-0B67-4359-8C4A-689E283877C9}" name="TÉCNICO HIDRÁULICO" dataDxfId="2">
      <calculatedColumnFormula>_xlfn.XLOOKUP(A:A,[3]Matriz!$E:$E,[3]Matriz!$FF:$FF)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el.solis.c@global.komats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D208D-FA9D-4051-A627-EA51AE278008}">
  <dimension ref="A1:F306"/>
  <sheetViews>
    <sheetView tabSelected="1" zoomScale="90" zoomScaleNormal="90" workbookViewId="0">
      <selection activeCell="E2" sqref="E2:E306"/>
    </sheetView>
  </sheetViews>
  <sheetFormatPr baseColWidth="10" defaultRowHeight="14.5" x14ac:dyDescent="0.35"/>
  <cols>
    <col min="1" max="1" width="8.36328125" bestFit="1" customWidth="1"/>
    <col min="2" max="2" width="23.54296875" bestFit="1" customWidth="1"/>
    <col min="3" max="4" width="23.54296875" customWidth="1"/>
    <col min="5" max="5" width="8.54296875" bestFit="1" customWidth="1"/>
    <col min="6" max="6" width="24.54296875" customWidth="1"/>
  </cols>
  <sheetData>
    <row r="1" spans="1:6" x14ac:dyDescent="0.35">
      <c r="A1" s="9" t="s">
        <v>610</v>
      </c>
      <c r="B1" s="9" t="s">
        <v>0</v>
      </c>
      <c r="C1" s="9" t="s">
        <v>613</v>
      </c>
      <c r="D1" s="9" t="s">
        <v>612</v>
      </c>
      <c r="E1" s="9" t="s">
        <v>614</v>
      </c>
      <c r="F1" s="10" t="s">
        <v>611</v>
      </c>
    </row>
    <row r="2" spans="1:6" x14ac:dyDescent="0.35">
      <c r="A2" s="1" t="s">
        <v>376</v>
      </c>
      <c r="B2" s="1" t="s">
        <v>131</v>
      </c>
      <c r="C2" s="1" t="s">
        <v>615</v>
      </c>
      <c r="D2" s="1" t="s">
        <v>663</v>
      </c>
      <c r="E2" s="1" t="str">
        <f>_xlfn.XLOOKUP(A:A,[3]Matriz!$E:$E,[3]Matriz!$GT:$GT)</f>
        <v>B - D</v>
      </c>
      <c r="F2" s="1" t="str">
        <f>_xlfn.XLOOKUP(A:A,[3]Matriz!$E:$E,[3]Matriz!$J:$J)</f>
        <v>abraham.huagama@global.komatsu</v>
      </c>
    </row>
    <row r="3" spans="1:6" x14ac:dyDescent="0.35">
      <c r="A3" s="1" t="s">
        <v>582</v>
      </c>
      <c r="B3" s="1" t="s">
        <v>583</v>
      </c>
      <c r="C3" s="1" t="s">
        <v>615</v>
      </c>
      <c r="D3" s="1" t="s">
        <v>620</v>
      </c>
      <c r="E3" s="1" t="str">
        <f>_xlfn.XLOOKUP(A:A,[3]Matriz!$E:$E,[3]Matriz!$GT:$GT)</f>
        <v/>
      </c>
      <c r="F3" s="1" t="str">
        <f>_xlfn.XLOOKUP(A:A,[3]Matriz!$E:$E,[3]Matriz!$J:$J)</f>
        <v>abraham.rojas.g@global.komatsu</v>
      </c>
    </row>
    <row r="4" spans="1:6" x14ac:dyDescent="0.35">
      <c r="A4" s="1" t="s">
        <v>592</v>
      </c>
      <c r="B4" s="1" t="s">
        <v>593</v>
      </c>
      <c r="C4" s="1" t="s">
        <v>615</v>
      </c>
      <c r="D4" s="1" t="s">
        <v>692</v>
      </c>
      <c r="E4" s="1" t="str">
        <f>_xlfn.XLOOKUP(A:A,[3]Matriz!$E:$E,[3]Matriz!$GT:$GT)</f>
        <v/>
      </c>
      <c r="F4" s="1" t="str">
        <f>_xlfn.XLOOKUP(A:A,[3]Matriz!$E:$E,[3]Matriz!$J:$J)</f>
        <v>aixa.ferrari.g@global.komatsu</v>
      </c>
    </row>
    <row r="5" spans="1:6" x14ac:dyDescent="0.35">
      <c r="A5" s="1" t="s">
        <v>446</v>
      </c>
      <c r="B5" s="1" t="s">
        <v>697</v>
      </c>
      <c r="C5" s="1" t="s">
        <v>615</v>
      </c>
      <c r="D5" s="1" t="s">
        <v>640</v>
      </c>
      <c r="E5" s="1" t="str">
        <f>_xlfn.XLOOKUP(A:A,[3]Matriz!$E:$E,[3]Matriz!$GT:$GT)</f>
        <v/>
      </c>
      <c r="F5" s="1" t="str">
        <f>_xlfn.XLOOKUP(A:A,[3]Matriz!$E:$E,[3]Matriz!$J:$J)</f>
        <v>alejandro.arancibia.c@global.komatsu</v>
      </c>
    </row>
    <row r="6" spans="1:6" x14ac:dyDescent="0.35">
      <c r="A6" s="1" t="s">
        <v>576</v>
      </c>
      <c r="B6" s="1" t="s">
        <v>566</v>
      </c>
      <c r="C6" s="1" t="s">
        <v>615</v>
      </c>
      <c r="D6" s="1" t="s">
        <v>622</v>
      </c>
      <c r="E6" s="1" t="str">
        <f>_xlfn.XLOOKUP(A:A,[3]Matriz!$E:$E,[3]Matriz!$GT:$GT)</f>
        <v/>
      </c>
      <c r="F6" s="1" t="str">
        <f>_xlfn.XLOOKUP(A:A,[3]Matriz!$E:$E,[3]Matriz!$J:$J)</f>
        <v>alejandro.suniga.r@global.komatsu</v>
      </c>
    </row>
    <row r="7" spans="1:6" x14ac:dyDescent="0.35">
      <c r="A7" s="1" t="s">
        <v>315</v>
      </c>
      <c r="B7" s="1" t="s">
        <v>30</v>
      </c>
      <c r="C7" s="1" t="s">
        <v>615</v>
      </c>
      <c r="D7" s="1" t="s">
        <v>672</v>
      </c>
      <c r="E7" s="1" t="str">
        <f>_xlfn.XLOOKUP(A:A,[3]Matriz!$E:$E,[3]Matriz!$GT:$GT)</f>
        <v/>
      </c>
      <c r="F7" s="1" t="str">
        <f>_xlfn.XLOOKUP(A:A,[3]Matriz!$E:$E,[3]Matriz!$J:$J)</f>
        <v>alejandro.torres.s@global.komatsu</v>
      </c>
    </row>
    <row r="8" spans="1:6" x14ac:dyDescent="0.35">
      <c r="A8" s="1" t="s">
        <v>448</v>
      </c>
      <c r="B8" s="4" t="s">
        <v>132</v>
      </c>
      <c r="C8" s="1" t="s">
        <v>615</v>
      </c>
      <c r="D8" s="1" t="s">
        <v>624</v>
      </c>
      <c r="E8" s="1" t="str">
        <f>_xlfn.XLOOKUP(A:A,[3]Matriz!$E:$E,[3]Matriz!$GT:$GT)</f>
        <v>B - D - A4</v>
      </c>
      <c r="F8" s="1" t="str">
        <f>_xlfn.XLOOKUP(A:A,[3]Matriz!$E:$E,[3]Matriz!$J:$J)</f>
        <v>alejandro.vargas@global.komatsu</v>
      </c>
    </row>
    <row r="9" spans="1:6" x14ac:dyDescent="0.35">
      <c r="A9" s="6" t="s">
        <v>525</v>
      </c>
      <c r="B9" s="1" t="s">
        <v>147</v>
      </c>
      <c r="C9" s="1" t="s">
        <v>615</v>
      </c>
      <c r="D9" s="1" t="s">
        <v>625</v>
      </c>
      <c r="E9" s="1" t="str">
        <f>_xlfn.XLOOKUP(A:A,[3]Matriz!$E:$E,[3]Matriz!$GT:$GT)</f>
        <v>B - D</v>
      </c>
      <c r="F9" s="1" t="str">
        <f>_xlfn.XLOOKUP(A:A,[3]Matriz!$E:$E,[3]Matriz!$J:$J)</f>
        <v>alex.munoz.o@global.komatsu</v>
      </c>
    </row>
    <row r="10" spans="1:6" x14ac:dyDescent="0.35">
      <c r="A10" s="1" t="s">
        <v>470</v>
      </c>
      <c r="B10" s="1" t="s">
        <v>148</v>
      </c>
      <c r="C10" s="1" t="s">
        <v>615</v>
      </c>
      <c r="D10" s="1" t="s">
        <v>623</v>
      </c>
      <c r="E10" s="1" t="str">
        <f>_xlfn.XLOOKUP(A:A,[3]Matriz!$E:$E,[3]Matriz!$GT:$GT)</f>
        <v/>
      </c>
      <c r="F10" s="1" t="str">
        <f>_xlfn.XLOOKUP(A:A,[3]Matriz!$E:$E,[3]Matriz!$J:$J)</f>
        <v>alexander.rojas@global.komatsu</v>
      </c>
    </row>
    <row r="11" spans="1:6" x14ac:dyDescent="0.35">
      <c r="A11" s="1" t="s">
        <v>453</v>
      </c>
      <c r="B11" s="1" t="s">
        <v>454</v>
      </c>
      <c r="C11" s="1" t="s">
        <v>615</v>
      </c>
      <c r="D11" s="1" t="s">
        <v>661</v>
      </c>
      <c r="E11" s="1" t="str">
        <f>_xlfn.XLOOKUP(A:A,[3]Matriz!$E:$E,[3]Matriz!$GT:$GT)</f>
        <v>B - D - A4</v>
      </c>
      <c r="F11" s="1" t="str">
        <f>_xlfn.XLOOKUP(A:A,[3]Matriz!$E:$E,[3]Matriz!$J:$J)</f>
        <v>alexis.herrera@global.komatsu</v>
      </c>
    </row>
    <row r="12" spans="1:6" x14ac:dyDescent="0.35">
      <c r="A12" s="1" t="s">
        <v>506</v>
      </c>
      <c r="B12" s="1" t="s">
        <v>507</v>
      </c>
      <c r="C12" s="1" t="s">
        <v>615</v>
      </c>
      <c r="D12" s="1" t="s">
        <v>634</v>
      </c>
      <c r="E12" s="1" t="str">
        <f>_xlfn.XLOOKUP(A:A,[3]Matriz!$E:$E,[3]Matriz!$GT:$GT)</f>
        <v>B</v>
      </c>
      <c r="F12" s="1" t="str">
        <f>_xlfn.XLOOKUP(A:A,[3]Matriz!$E:$E,[3]Matriz!$J:$J)</f>
        <v>alexis.villagran@global.komatsu</v>
      </c>
    </row>
    <row r="13" spans="1:6" x14ac:dyDescent="0.35">
      <c r="A13" s="1" t="s">
        <v>441</v>
      </c>
      <c r="B13" s="1" t="s">
        <v>198</v>
      </c>
      <c r="C13" s="1" t="s">
        <v>615</v>
      </c>
      <c r="D13" s="1" t="s">
        <v>633</v>
      </c>
      <c r="E13" s="1" t="str">
        <f>_xlfn.XLOOKUP(A:A,[3]Matriz!$E:$E,[3]Matriz!$GT:$GT)</f>
        <v>B</v>
      </c>
      <c r="F13" s="1" t="str">
        <f>_xlfn.XLOOKUP(A:A,[3]Matriz!$E:$E,[3]Matriz!$J:$J)</f>
        <v>allan.rojas@global.komatsu</v>
      </c>
    </row>
    <row r="14" spans="1:6" x14ac:dyDescent="0.35">
      <c r="A14" s="1" t="s">
        <v>378</v>
      </c>
      <c r="B14" s="1" t="s">
        <v>80</v>
      </c>
      <c r="C14" s="1" t="s">
        <v>615</v>
      </c>
      <c r="D14" s="1" t="s">
        <v>624</v>
      </c>
      <c r="E14" s="1" t="str">
        <f>_xlfn.XLOOKUP(A:A,[3]Matriz!$E:$E,[3]Matriz!$GT:$GT)</f>
        <v>B - D - A4</v>
      </c>
      <c r="F14" s="1" t="str">
        <f>_xlfn.XLOOKUP(A:A,[3]Matriz!$E:$E,[3]Matriz!$J:$J)</f>
        <v>alvaro.carvajal@global.komatsu</v>
      </c>
    </row>
    <row r="15" spans="1:6" x14ac:dyDescent="0.35">
      <c r="A15" s="1" t="s">
        <v>474</v>
      </c>
      <c r="B15" s="1" t="s">
        <v>199</v>
      </c>
      <c r="C15" s="1" t="s">
        <v>615</v>
      </c>
      <c r="D15" s="1" t="s">
        <v>629</v>
      </c>
      <c r="E15" s="1" t="str">
        <f>_xlfn.XLOOKUP(A:A,[3]Matriz!$E:$E,[3]Matriz!$GT:$GT)</f>
        <v>B - D - A4</v>
      </c>
      <c r="F15" s="1" t="str">
        <f>_xlfn.XLOOKUP(A:A,[3]Matriz!$E:$E,[3]Matriz!$J:$J)</f>
        <v>alvaro.colina@global.komatsu</v>
      </c>
    </row>
    <row r="16" spans="1:6" x14ac:dyDescent="0.35">
      <c r="A16" s="1" t="s">
        <v>457</v>
      </c>
      <c r="B16" s="1" t="s">
        <v>200</v>
      </c>
      <c r="C16" s="1" t="s">
        <v>615</v>
      </c>
      <c r="D16" s="1" t="s">
        <v>630</v>
      </c>
      <c r="E16" s="1" t="str">
        <f>_xlfn.XLOOKUP(A:A,[3]Matriz!$E:$E,[3]Matriz!$GT:$GT)</f>
        <v/>
      </c>
      <c r="F16" s="1" t="str">
        <f>_xlfn.XLOOKUP(A:A,[3]Matriz!$E:$E,[3]Matriz!$J:$J)</f>
        <v>andrea.moya@global.komatsu</v>
      </c>
    </row>
    <row r="17" spans="1:6" x14ac:dyDescent="0.35">
      <c r="A17" s="1" t="s">
        <v>243</v>
      </c>
      <c r="B17" s="1" t="s">
        <v>81</v>
      </c>
      <c r="C17" s="1" t="s">
        <v>615</v>
      </c>
      <c r="D17" s="1" t="s">
        <v>628</v>
      </c>
      <c r="E17" s="1" t="str">
        <f>_xlfn.XLOOKUP(A:A,[3]Matriz!$E:$E,[3]Matriz!$GT:$GT)</f>
        <v>B - D</v>
      </c>
      <c r="F17" s="1" t="str">
        <f>_xlfn.XLOOKUP(A:A,[3]Matriz!$E:$E,[3]Matriz!$J:$J)</f>
        <v>andres.aguilera@global.komatsu</v>
      </c>
    </row>
    <row r="18" spans="1:6" x14ac:dyDescent="0.35">
      <c r="A18" s="1" t="s">
        <v>521</v>
      </c>
      <c r="B18" s="1" t="s">
        <v>149</v>
      </c>
      <c r="C18" s="1" t="s">
        <v>615</v>
      </c>
      <c r="D18" s="1" t="s">
        <v>632</v>
      </c>
      <c r="E18" s="1" t="str">
        <f>_xlfn.XLOOKUP(A:A,[3]Matriz!$E:$E,[3]Matriz!$GT:$GT)</f>
        <v>B - D</v>
      </c>
      <c r="F18" s="1" t="str">
        <f>_xlfn.XLOOKUP(A:A,[3]Matriz!$E:$E,[3]Matriz!$J:$J)</f>
        <v>andres.gutierrez.v@global.komatsu</v>
      </c>
    </row>
    <row r="19" spans="1:6" x14ac:dyDescent="0.35">
      <c r="A19" s="2" t="s">
        <v>293</v>
      </c>
      <c r="B19" s="1" t="s">
        <v>201</v>
      </c>
      <c r="C19" s="1" t="s">
        <v>615</v>
      </c>
      <c r="D19" s="1" t="s">
        <v>629</v>
      </c>
      <c r="E19" s="1" t="str">
        <f>_xlfn.XLOOKUP(A:A,[3]Matriz!$E:$E,[3]Matriz!$GT:$GT)</f>
        <v/>
      </c>
      <c r="F19" s="1" t="str">
        <f>_xlfn.XLOOKUP(A:A,[3]Matriz!$E:$E,[3]Matriz!$J:$J)</f>
        <v>andres.ocayo@global.komatsu</v>
      </c>
    </row>
    <row r="20" spans="1:6" x14ac:dyDescent="0.35">
      <c r="A20" s="1" t="s">
        <v>350</v>
      </c>
      <c r="B20" s="1" t="s">
        <v>150</v>
      </c>
      <c r="C20" s="1" t="s">
        <v>615</v>
      </c>
      <c r="D20" s="1" t="s">
        <v>673</v>
      </c>
      <c r="E20" s="1" t="str">
        <f>_xlfn.XLOOKUP(A:A,[3]Matriz!$E:$E,[3]Matriz!$GT:$GT)</f>
        <v/>
      </c>
      <c r="F20" s="1" t="str">
        <f>_xlfn.XLOOKUP(A:A,[3]Matriz!$E:$E,[3]Matriz!$J:$J)</f>
        <v>angelo.gajardo@global.komatsu</v>
      </c>
    </row>
    <row r="21" spans="1:6" x14ac:dyDescent="0.35">
      <c r="A21" s="1" t="s">
        <v>464</v>
      </c>
      <c r="B21" s="1" t="s">
        <v>151</v>
      </c>
      <c r="C21" s="1" t="s">
        <v>615</v>
      </c>
      <c r="D21" s="1" t="s">
        <v>623</v>
      </c>
      <c r="E21" s="1" t="str">
        <f>_xlfn.XLOOKUP(A:A,[3]Matriz!$E:$E,[3]Matriz!$GT:$GT)</f>
        <v>B</v>
      </c>
      <c r="F21" s="1" t="str">
        <f>_xlfn.XLOOKUP(A:A,[3]Matriz!$E:$E,[3]Matriz!$J:$J)</f>
        <v>angelo.segovia@global.komatsu</v>
      </c>
    </row>
    <row r="22" spans="1:6" x14ac:dyDescent="0.35">
      <c r="A22" s="1" t="s">
        <v>242</v>
      </c>
      <c r="B22" s="1" t="s">
        <v>152</v>
      </c>
      <c r="C22" s="1" t="s">
        <v>615</v>
      </c>
      <c r="D22" s="1" t="s">
        <v>628</v>
      </c>
      <c r="E22" s="1" t="str">
        <f>_xlfn.XLOOKUP(A:A,[3]Matriz!$E:$E,[3]Matriz!$GT:$GT)</f>
        <v>B - D - A4</v>
      </c>
      <c r="F22" s="1" t="str">
        <f>_xlfn.XLOOKUP(A:A,[3]Matriz!$E:$E,[3]Matriz!$J:$J)</f>
        <v>ariel.maluenda@global.komatsu</v>
      </c>
    </row>
    <row r="23" spans="1:6" x14ac:dyDescent="0.35">
      <c r="A23" s="1" t="s">
        <v>246</v>
      </c>
      <c r="B23" s="1" t="s">
        <v>6</v>
      </c>
      <c r="C23" s="1" t="s">
        <v>615</v>
      </c>
      <c r="D23" s="1" t="s">
        <v>637</v>
      </c>
      <c r="E23" s="1" t="str">
        <f>_xlfn.XLOOKUP(A:A,[3]Matriz!$E:$E,[3]Matriz!$GT:$GT)</f>
        <v/>
      </c>
      <c r="F23" s="1" t="str">
        <f>_xlfn.XLOOKUP(A:A,[3]Matriz!$E:$E,[3]Matriz!$J:$J)</f>
        <v>ariel.rivera.v@global.komatsu</v>
      </c>
    </row>
    <row r="24" spans="1:6" x14ac:dyDescent="0.35">
      <c r="A24" s="2" t="s">
        <v>380</v>
      </c>
      <c r="B24" s="1" t="s">
        <v>143</v>
      </c>
      <c r="C24" s="1" t="s">
        <v>615</v>
      </c>
      <c r="D24" s="1" t="s">
        <v>638</v>
      </c>
      <c r="E24" s="1" t="str">
        <f>_xlfn.XLOOKUP(A:A,[3]Matriz!$E:$E,[3]Matriz!$GT:$GT)</f>
        <v/>
      </c>
      <c r="F24" s="1" t="str">
        <f>_xlfn.XLOOKUP(A:A,[3]Matriz!$E:$E,[3]Matriz!$J:$J)</f>
        <v>arturo.tapia@global.komatsu</v>
      </c>
    </row>
    <row r="25" spans="1:6" x14ac:dyDescent="0.35">
      <c r="A25" s="1" t="s">
        <v>436</v>
      </c>
      <c r="B25" s="1" t="s">
        <v>153</v>
      </c>
      <c r="C25" s="1" t="s">
        <v>615</v>
      </c>
      <c r="D25" s="1" t="s">
        <v>642</v>
      </c>
      <c r="E25" s="1" t="str">
        <f>_xlfn.XLOOKUP(A:A,[3]Matriz!$E:$E,[3]Matriz!$GT:$GT)</f>
        <v>B</v>
      </c>
      <c r="F25" s="1" t="str">
        <f>_xlfn.XLOOKUP(A:A,[3]Matriz!$E:$E,[3]Matriz!$J:$J)</f>
        <v>bayron.vergara@global.komatsu</v>
      </c>
    </row>
    <row r="26" spans="1:6" x14ac:dyDescent="0.35">
      <c r="A26" s="1" t="s">
        <v>526</v>
      </c>
      <c r="B26" s="1" t="s">
        <v>552</v>
      </c>
      <c r="C26" s="1" t="s">
        <v>615</v>
      </c>
      <c r="D26" s="1" t="s">
        <v>641</v>
      </c>
      <c r="E26" s="1" t="str">
        <f>_xlfn.XLOOKUP(A:A,[3]Matriz!$E:$E,[3]Matriz!$GT:$GT)</f>
        <v>B - D - A4</v>
      </c>
      <c r="F26" s="1" t="str">
        <f>_xlfn.XLOOKUP(A:A,[3]Matriz!$E:$E,[3]Matriz!$J:$J)</f>
        <v>benito.castillo@global.komatsu</v>
      </c>
    </row>
    <row r="27" spans="1:6" x14ac:dyDescent="0.35">
      <c r="A27" s="1" t="s">
        <v>480</v>
      </c>
      <c r="B27" s="1" t="s">
        <v>239</v>
      </c>
      <c r="C27" s="1" t="s">
        <v>615</v>
      </c>
      <c r="D27" s="1" t="s">
        <v>623</v>
      </c>
      <c r="E27" s="1" t="str">
        <f>_xlfn.XLOOKUP(A:A,[3]Matriz!$E:$E,[3]Matriz!$GT:$GT)</f>
        <v>B - D</v>
      </c>
      <c r="F27" s="1" t="str">
        <f>_xlfn.XLOOKUP(A:A,[3]Matriz!$E:$E,[3]Matriz!$J:$J)</f>
        <v>benjamin.fuentes@global.komatsu</v>
      </c>
    </row>
    <row r="28" spans="1:6" x14ac:dyDescent="0.35">
      <c r="A28" s="1" t="s">
        <v>534</v>
      </c>
      <c r="B28" s="1" t="s">
        <v>82</v>
      </c>
      <c r="C28" s="1" t="s">
        <v>615</v>
      </c>
      <c r="D28" s="1" t="s">
        <v>628</v>
      </c>
      <c r="E28" s="1" t="str">
        <f>_xlfn.XLOOKUP(A:A,[3]Matriz!$E:$E,[3]Matriz!$GT:$GT)</f>
        <v>B - D - A4</v>
      </c>
      <c r="F28" s="1" t="str">
        <f>_xlfn.XLOOKUP(A:A,[3]Matriz!$E:$E,[3]Matriz!$J:$J)</f>
        <v>benjamin.peredo@global.komatsu</v>
      </c>
    </row>
    <row r="29" spans="1:6" x14ac:dyDescent="0.35">
      <c r="A29" s="1" t="s">
        <v>571</v>
      </c>
      <c r="B29" s="1" t="s">
        <v>572</v>
      </c>
      <c r="C29" s="1" t="s">
        <v>615</v>
      </c>
      <c r="D29" s="1" t="s">
        <v>620</v>
      </c>
      <c r="E29" s="1" t="str">
        <f>_xlfn.XLOOKUP(A:A,[3]Matriz!$E:$E,[3]Matriz!$GT:$GT)</f>
        <v>B</v>
      </c>
      <c r="F29" s="1" t="str">
        <f>_xlfn.XLOOKUP(A:A,[3]Matriz!$E:$E,[3]Matriz!$J:$J)</f>
        <v>benjamin.trujillo@global.komatsu</v>
      </c>
    </row>
    <row r="30" spans="1:6" x14ac:dyDescent="0.35">
      <c r="A30" s="2" t="s">
        <v>263</v>
      </c>
      <c r="B30" s="1" t="s">
        <v>7</v>
      </c>
      <c r="C30" s="1" t="s">
        <v>615</v>
      </c>
      <c r="D30" s="1" t="s">
        <v>619</v>
      </c>
      <c r="E30" s="1" t="str">
        <f>_xlfn.XLOOKUP(A:A,[3]Matriz!$E:$E,[3]Matriz!$GT:$GT)</f>
        <v/>
      </c>
      <c r="F30" s="1" t="str">
        <f>_xlfn.XLOOKUP(A:A,[3]Matriz!$E:$E,[3]Matriz!$J:$J)</f>
        <v>bielka.chicago@global.komatsu</v>
      </c>
    </row>
    <row r="31" spans="1:6" x14ac:dyDescent="0.35">
      <c r="A31" s="2" t="s">
        <v>455</v>
      </c>
      <c r="B31" s="1" t="s">
        <v>83</v>
      </c>
      <c r="C31" s="1" t="s">
        <v>615</v>
      </c>
      <c r="D31" s="1" t="s">
        <v>631</v>
      </c>
      <c r="E31" s="1" t="str">
        <f>_xlfn.XLOOKUP(A:A,[3]Matriz!$E:$E,[3]Matriz!$GT:$GT)</f>
        <v/>
      </c>
      <c r="F31" s="1" t="str">
        <f>_xlfn.XLOOKUP(A:A,[3]Matriz!$E:$E,[3]Matriz!$J:$J)</f>
        <v>braulio.sasmaya@global.komatsu</v>
      </c>
    </row>
    <row r="32" spans="1:6" x14ac:dyDescent="0.35">
      <c r="A32" s="2" t="s">
        <v>292</v>
      </c>
      <c r="B32" s="1" t="s">
        <v>154</v>
      </c>
      <c r="C32" s="1" t="s">
        <v>615</v>
      </c>
      <c r="D32" s="1" t="s">
        <v>629</v>
      </c>
      <c r="E32" s="1" t="str">
        <f>_xlfn.XLOOKUP(A:A,[3]Matriz!$E:$E,[3]Matriz!$GT:$GT)</f>
        <v>B</v>
      </c>
      <c r="F32" s="1" t="str">
        <f>_xlfn.XLOOKUP(A:A,[3]Matriz!$E:$E,[3]Matriz!$J:$J)</f>
        <v>brian.reygada.f@global.komatsu</v>
      </c>
    </row>
    <row r="33" spans="1:6" x14ac:dyDescent="0.35">
      <c r="A33" s="1" t="s">
        <v>324</v>
      </c>
      <c r="B33" s="1" t="s">
        <v>155</v>
      </c>
      <c r="C33" s="1" t="s">
        <v>615</v>
      </c>
      <c r="D33" s="1" t="s">
        <v>623</v>
      </c>
      <c r="E33" s="1" t="str">
        <f>_xlfn.XLOOKUP(A:A,[3]Matriz!$E:$E,[3]Matriz!$GT:$GT)</f>
        <v>B</v>
      </c>
      <c r="F33" s="1" t="str">
        <f>_xlfn.XLOOKUP(A:A,[3]Matriz!$E:$E,[3]Matriz!$J:$J)</f>
        <v>bryan.bascur@global.komatsu</v>
      </c>
    </row>
    <row r="34" spans="1:6" x14ac:dyDescent="0.35">
      <c r="A34" s="1" t="s">
        <v>318</v>
      </c>
      <c r="B34" s="1" t="s">
        <v>31</v>
      </c>
      <c r="C34" s="1" t="s">
        <v>615</v>
      </c>
      <c r="D34" s="1" t="s">
        <v>643</v>
      </c>
      <c r="E34" s="1" t="str">
        <f>_xlfn.XLOOKUP(A:A,[3]Matriz!$E:$E,[3]Matriz!$GT:$GT)</f>
        <v/>
      </c>
      <c r="F34" s="1" t="str">
        <f>_xlfn.XLOOKUP(A:A,[3]Matriz!$E:$E,[3]Matriz!$J:$J)</f>
        <v>camila.iriarte@global.komatsu</v>
      </c>
    </row>
    <row r="35" spans="1:6" x14ac:dyDescent="0.35">
      <c r="A35" s="1" t="s">
        <v>381</v>
      </c>
      <c r="B35" s="1" t="s">
        <v>133</v>
      </c>
      <c r="C35" s="1" t="s">
        <v>615</v>
      </c>
      <c r="D35" s="1" t="s">
        <v>644</v>
      </c>
      <c r="E35" s="1" t="str">
        <f>_xlfn.XLOOKUP(A:A,[3]Matriz!$E:$E,[3]Matriz!$GT:$GT)</f>
        <v>B</v>
      </c>
      <c r="F35" s="1" t="str">
        <f>_xlfn.XLOOKUP(A:A,[3]Matriz!$E:$E,[3]Matriz!$J:$J)</f>
        <v>camilo.jara@global.komatsu</v>
      </c>
    </row>
    <row r="36" spans="1:6" x14ac:dyDescent="0.35">
      <c r="A36" s="1" t="s">
        <v>492</v>
      </c>
      <c r="B36" s="1" t="s">
        <v>493</v>
      </c>
      <c r="C36" s="1" t="s">
        <v>615</v>
      </c>
      <c r="D36" s="1" t="s">
        <v>623</v>
      </c>
      <c r="E36" s="1" t="str">
        <f>_xlfn.XLOOKUP(A:A,[3]Matriz!$E:$E,[3]Matriz!$GT:$GT)</f>
        <v/>
      </c>
      <c r="F36" s="1" t="str">
        <f>_xlfn.XLOOKUP(A:A,[3]Matriz!$E:$E,[3]Matriz!$J:$J)</f>
        <v>camilo.salgado.g@global.komatsu</v>
      </c>
    </row>
    <row r="37" spans="1:6" x14ac:dyDescent="0.35">
      <c r="A37" s="1" t="s">
        <v>247</v>
      </c>
      <c r="B37" s="1" t="s">
        <v>2</v>
      </c>
      <c r="C37" s="1" t="s">
        <v>615</v>
      </c>
      <c r="D37" s="1" t="s">
        <v>645</v>
      </c>
      <c r="E37" s="1" t="str">
        <f>_xlfn.XLOOKUP(A:A,[3]Matriz!$E:$E,[3]Matriz!$GT:$GT)</f>
        <v>B</v>
      </c>
      <c r="F37" s="1" t="str">
        <f>_xlfn.XLOOKUP(A:A,[3]Matriz!$E:$E,[3]Matriz!$J:$J)</f>
        <v>carina.calderon@global.komatsu</v>
      </c>
    </row>
    <row r="38" spans="1:6" x14ac:dyDescent="0.35">
      <c r="A38" s="1" t="s">
        <v>382</v>
      </c>
      <c r="B38" s="1" t="s">
        <v>134</v>
      </c>
      <c r="C38" s="1" t="s">
        <v>615</v>
      </c>
      <c r="D38" s="1" t="s">
        <v>646</v>
      </c>
      <c r="E38" s="1" t="str">
        <f>_xlfn.XLOOKUP(A:A,[3]Matriz!$E:$E,[3]Matriz!$GT:$GT)</f>
        <v>B</v>
      </c>
      <c r="F38" s="1" t="str">
        <f>_xlfn.XLOOKUP(A:A,[3]Matriz!$E:$E,[3]Matriz!$J:$J)</f>
        <v>carlos.aramayo@global.komatsu</v>
      </c>
    </row>
    <row r="39" spans="1:6" x14ac:dyDescent="0.35">
      <c r="A39" s="1" t="s">
        <v>426</v>
      </c>
      <c r="B39" s="1" t="s">
        <v>84</v>
      </c>
      <c r="C39" s="1" t="s">
        <v>615</v>
      </c>
      <c r="D39" s="1" t="s">
        <v>633</v>
      </c>
      <c r="E39" s="1" t="str">
        <f>_xlfn.XLOOKUP(A:A,[3]Matriz!$E:$E,[3]Matriz!$GT:$GT)</f>
        <v>B</v>
      </c>
      <c r="F39" s="1" t="str">
        <f>_xlfn.XLOOKUP(A:A,[3]Matriz!$E:$E,[3]Matriz!$J:$J)</f>
        <v>carlos.carrizo@global.komatsu</v>
      </c>
    </row>
    <row r="40" spans="1:6" x14ac:dyDescent="0.35">
      <c r="A40" s="2" t="s">
        <v>456</v>
      </c>
      <c r="B40" s="1" t="s">
        <v>85</v>
      </c>
      <c r="C40" s="1" t="s">
        <v>615</v>
      </c>
      <c r="D40" s="1" t="s">
        <v>623</v>
      </c>
      <c r="E40" s="1" t="str">
        <f>_xlfn.XLOOKUP(A:A,[3]Matriz!$E:$E,[3]Matriz!$GT:$GT)</f>
        <v/>
      </c>
      <c r="F40" s="1" t="str">
        <f>_xlfn.XLOOKUP(A:A,[3]Matriz!$E:$E,[3]Matriz!$J:$J)</f>
        <v>carlos.espinoza.a@global.komatsu</v>
      </c>
    </row>
    <row r="41" spans="1:6" x14ac:dyDescent="0.35">
      <c r="A41" s="1" t="s">
        <v>371</v>
      </c>
      <c r="B41" s="1" t="s">
        <v>86</v>
      </c>
      <c r="C41" s="1" t="s">
        <v>615</v>
      </c>
      <c r="D41" s="1" t="s">
        <v>634</v>
      </c>
      <c r="E41" s="1" t="str">
        <f>_xlfn.XLOOKUP(A:A,[3]Matriz!$E:$E,[3]Matriz!$GT:$GT)</f>
        <v>B - D</v>
      </c>
      <c r="F41" s="1" t="str">
        <f>_xlfn.XLOOKUP(A:A,[3]Matriz!$E:$E,[3]Matriz!$J:$J)</f>
        <v>carlos.hurtado@global.komatsu</v>
      </c>
    </row>
    <row r="42" spans="1:6" x14ac:dyDescent="0.35">
      <c r="A42" s="1" t="s">
        <v>532</v>
      </c>
      <c r="B42" s="1" t="s">
        <v>32</v>
      </c>
      <c r="C42" s="1" t="s">
        <v>615</v>
      </c>
      <c r="D42" s="1" t="s">
        <v>691</v>
      </c>
      <c r="E42" s="1" t="str">
        <f>_xlfn.XLOOKUP(A:A,[3]Matriz!$E:$E,[3]Matriz!$GT:$GT)</f>
        <v>B - D - A4</v>
      </c>
      <c r="F42" s="1" t="str">
        <f>_xlfn.XLOOKUP(A:A,[3]Matriz!$E:$E,[3]Matriz!$J:$J)</f>
        <v>carlos.inzunza.a@global.komatsu</v>
      </c>
    </row>
    <row r="43" spans="1:6" x14ac:dyDescent="0.35">
      <c r="A43" s="1" t="s">
        <v>307</v>
      </c>
      <c r="B43" s="1" t="s">
        <v>135</v>
      </c>
      <c r="C43" s="1" t="s">
        <v>615</v>
      </c>
      <c r="D43" s="1" t="s">
        <v>626</v>
      </c>
      <c r="E43" s="1" t="str">
        <f>_xlfn.XLOOKUP(A:A,[3]Matriz!$E:$E,[3]Matriz!$GT:$GT)</f>
        <v>B</v>
      </c>
      <c r="F43" s="1" t="str">
        <f>_xlfn.XLOOKUP(A:A,[3]Matriz!$E:$E,[3]Matriz!$J:$J)</f>
        <v>catur.carlos@global.komatsu</v>
      </c>
    </row>
    <row r="44" spans="1:6" x14ac:dyDescent="0.35">
      <c r="A44" s="1" t="s">
        <v>337</v>
      </c>
      <c r="B44" s="1" t="s">
        <v>128</v>
      </c>
      <c r="C44" s="1" t="s">
        <v>615</v>
      </c>
      <c r="D44" s="1" t="s">
        <v>635</v>
      </c>
      <c r="E44" s="1" t="str">
        <f>_xlfn.XLOOKUP(A:A,[3]Matriz!$E:$E,[3]Matriz!$GT:$GT)</f>
        <v>D</v>
      </c>
      <c r="F44" s="1" t="str">
        <f>_xlfn.XLOOKUP(A:A,[3]Matriz!$E:$E,[3]Matriz!$J:$J)</f>
        <v>Carolina.caceres.a@global.komatsu</v>
      </c>
    </row>
    <row r="45" spans="1:6" x14ac:dyDescent="0.35">
      <c r="A45" s="1" t="s">
        <v>300</v>
      </c>
      <c r="B45" s="1" t="s">
        <v>301</v>
      </c>
      <c r="C45" s="1" t="s">
        <v>615</v>
      </c>
      <c r="D45" s="1" t="s">
        <v>632</v>
      </c>
      <c r="E45" s="1" t="str">
        <f>_xlfn.XLOOKUP(A:A,[3]Matriz!$E:$E,[3]Matriz!$GT:$GT)</f>
        <v>B - D</v>
      </c>
      <c r="F45" s="1" t="str">
        <f>_xlfn.XLOOKUP(A:A,[3]Matriz!$E:$E,[3]Matriz!$J:$J)</f>
        <v>cesar.araya@global.komatsu</v>
      </c>
    </row>
    <row r="46" spans="1:6" x14ac:dyDescent="0.35">
      <c r="A46" s="2" t="s">
        <v>385</v>
      </c>
      <c r="B46" s="1" t="s">
        <v>386</v>
      </c>
      <c r="C46" s="1" t="s">
        <v>615</v>
      </c>
      <c r="D46" s="1" t="s">
        <v>649</v>
      </c>
      <c r="E46" s="1" t="str">
        <f>_xlfn.XLOOKUP(A:A,[3]Matriz!$E:$E,[3]Matriz!$GT:$GT)</f>
        <v/>
      </c>
      <c r="F46" s="1" t="str">
        <f>_xlfn.XLOOKUP(A:A,[3]Matriz!$E:$E,[3]Matriz!$J:$J)</f>
        <v>chilin.luy.g@global.komatsu</v>
      </c>
    </row>
    <row r="47" spans="1:6" x14ac:dyDescent="0.35">
      <c r="A47" s="1" t="s">
        <v>431</v>
      </c>
      <c r="B47" s="1" t="s">
        <v>202</v>
      </c>
      <c r="C47" s="1" t="s">
        <v>615</v>
      </c>
      <c r="D47" s="1" t="s">
        <v>623</v>
      </c>
      <c r="E47" s="1" t="str">
        <f>_xlfn.XLOOKUP(A:A,[3]Matriz!$E:$E,[3]Matriz!$GT:$GT)</f>
        <v>B  - D</v>
      </c>
      <c r="F47" s="1" t="str">
        <f>_xlfn.XLOOKUP(A:A,[3]Matriz!$E:$E,[3]Matriz!$J:$J)</f>
        <v>christian.caceres.d@global.komatsu</v>
      </c>
    </row>
    <row r="48" spans="1:6" x14ac:dyDescent="0.35">
      <c r="A48" s="1" t="s">
        <v>313</v>
      </c>
      <c r="B48" s="1" t="s">
        <v>87</v>
      </c>
      <c r="C48" s="1" t="s">
        <v>615</v>
      </c>
      <c r="D48" s="1" t="s">
        <v>632</v>
      </c>
      <c r="E48" s="1" t="str">
        <f>_xlfn.XLOOKUP(A:A,[3]Matriz!$E:$E,[3]Matriz!$GT:$GT)</f>
        <v>B - A4</v>
      </c>
      <c r="F48" s="1" t="str">
        <f>_xlfn.XLOOKUP(A:A,[3]Matriz!$E:$E,[3]Matriz!$J:$J)</f>
        <v>christian.silva@global.komatsu</v>
      </c>
    </row>
    <row r="49" spans="1:6" x14ac:dyDescent="0.35">
      <c r="A49" s="1" t="s">
        <v>410</v>
      </c>
      <c r="B49" s="1" t="s">
        <v>33</v>
      </c>
      <c r="C49" s="1" t="s">
        <v>615</v>
      </c>
      <c r="D49" s="1" t="s">
        <v>623</v>
      </c>
      <c r="E49" s="1" t="str">
        <f>_xlfn.XLOOKUP(A:A,[3]Matriz!$E:$E,[3]Matriz!$GT:$GT)</f>
        <v/>
      </c>
      <c r="F49" s="1" t="str">
        <f>_xlfn.XLOOKUP(A:A,[3]Matriz!$E:$E,[3]Matriz!$J:$J)</f>
        <v>christina.plaza@global.komatsu</v>
      </c>
    </row>
    <row r="50" spans="1:6" x14ac:dyDescent="0.35">
      <c r="A50" s="1" t="s">
        <v>451</v>
      </c>
      <c r="B50" s="1" t="s">
        <v>78</v>
      </c>
      <c r="C50" s="1" t="s">
        <v>615</v>
      </c>
      <c r="D50" s="1" t="s">
        <v>636</v>
      </c>
      <c r="E50" s="1" t="str">
        <f>_xlfn.XLOOKUP(A:A,[3]Matriz!$E:$E,[3]Matriz!$GT:$GT)</f>
        <v>B</v>
      </c>
      <c r="F50" s="1" t="str">
        <f>_xlfn.XLOOKUP(A:A,[3]Matriz!$E:$E,[3]Matriz!$J:$J)</f>
        <v>cinthia.campos.p@global.komatsu</v>
      </c>
    </row>
    <row r="51" spans="1:6" x14ac:dyDescent="0.35">
      <c r="A51" s="1" t="s">
        <v>345</v>
      </c>
      <c r="B51" s="1" t="s">
        <v>156</v>
      </c>
      <c r="C51" s="1" t="s">
        <v>615</v>
      </c>
      <c r="D51" s="1" t="s">
        <v>639</v>
      </c>
      <c r="E51" s="1" t="str">
        <f>_xlfn.XLOOKUP(A:A,[3]Matriz!$E:$E,[3]Matriz!$GT:$GT)</f>
        <v>B</v>
      </c>
      <c r="F51" s="1" t="str">
        <f>_xlfn.XLOOKUP(A:A,[3]Matriz!$E:$E,[3]Matriz!$J:$J)</f>
        <v>claudia.gahona@global.komatsu</v>
      </c>
    </row>
    <row r="52" spans="1:6" x14ac:dyDescent="0.35">
      <c r="A52" s="2" t="s">
        <v>334</v>
      </c>
      <c r="B52" s="1" t="s">
        <v>8</v>
      </c>
      <c r="C52" s="1" t="s">
        <v>615</v>
      </c>
      <c r="D52" s="1" t="s">
        <v>662</v>
      </c>
      <c r="E52" s="1" t="str">
        <f>_xlfn.XLOOKUP(A:A,[3]Matriz!$E:$E,[3]Matriz!$GT:$GT)</f>
        <v>B - D</v>
      </c>
      <c r="F52" s="1" t="str">
        <f>_xlfn.XLOOKUP(A:A,[3]Matriz!$E:$E,[3]Matriz!$J:$J)</f>
        <v>claudio.castillo@global.komatsu</v>
      </c>
    </row>
    <row r="53" spans="1:6" x14ac:dyDescent="0.35">
      <c r="A53" s="1" t="s">
        <v>422</v>
      </c>
      <c r="B53" s="1" t="s">
        <v>157</v>
      </c>
      <c r="C53" s="1" t="s">
        <v>615</v>
      </c>
      <c r="D53" s="1" t="s">
        <v>650</v>
      </c>
      <c r="E53" s="1" t="str">
        <f>_xlfn.XLOOKUP(A:A,[3]Matriz!$E:$E,[3]Matriz!$GT:$GT)</f>
        <v>B - D - A4</v>
      </c>
      <c r="F53" s="1" t="str">
        <f>_xlfn.XLOOKUP(A:A,[3]Matriz!$E:$E,[3]Matriz!$J:$J)</f>
        <v>claudio.diaz.a@global.komatsu</v>
      </c>
    </row>
    <row r="54" spans="1:6" x14ac:dyDescent="0.35">
      <c r="A54" s="1" t="s">
        <v>528</v>
      </c>
      <c r="B54" s="1" t="s">
        <v>203</v>
      </c>
      <c r="C54" s="1" t="s">
        <v>615</v>
      </c>
      <c r="D54" s="1" t="s">
        <v>623</v>
      </c>
      <c r="E54" s="1" t="str">
        <f>_xlfn.XLOOKUP(A:A,[3]Matriz!$E:$E,[3]Matriz!$GT:$GT)</f>
        <v>B - D - A4</v>
      </c>
      <c r="F54" s="1" t="str">
        <f>_xlfn.XLOOKUP(A:A,[3]Matriz!$E:$E,[3]Matriz!$J:$J)</f>
        <v>claudio.miranda.g@global.komatsu</v>
      </c>
    </row>
    <row r="55" spans="1:6" x14ac:dyDescent="0.35">
      <c r="A55" s="1" t="s">
        <v>412</v>
      </c>
      <c r="B55" s="1" t="s">
        <v>34</v>
      </c>
      <c r="C55" s="1" t="s">
        <v>615</v>
      </c>
      <c r="D55" s="1" t="s">
        <v>623</v>
      </c>
      <c r="E55" s="1" t="str">
        <f>_xlfn.XLOOKUP(A:A,[3]Matriz!$E:$E,[3]Matriz!$GT:$GT)</f>
        <v/>
      </c>
      <c r="F55" s="1" t="str">
        <f>_xlfn.XLOOKUP(A:A,[3]Matriz!$E:$E,[3]Matriz!$J:$J)</f>
        <v>claudio.robles.c@global.komatsu</v>
      </c>
    </row>
    <row r="56" spans="1:6" x14ac:dyDescent="0.35">
      <c r="A56" s="1" t="s">
        <v>600</v>
      </c>
      <c r="B56" s="1" t="s">
        <v>599</v>
      </c>
      <c r="C56" s="1" t="s">
        <v>615</v>
      </c>
      <c r="D56" s="1" t="s">
        <v>634</v>
      </c>
      <c r="E56" s="1" t="str">
        <f>_xlfn.XLOOKUP(A:A,[3]Matriz!$E:$E,[3]Matriz!$GT:$GT)</f>
        <v/>
      </c>
      <c r="F56" s="1" t="str">
        <f>_xlfn.XLOOKUP(A:A,[3]Matriz!$E:$E,[3]Matriz!$J:$J)</f>
        <v>crhistian.salazar@global.komatsu</v>
      </c>
    </row>
    <row r="57" spans="1:6" x14ac:dyDescent="0.35">
      <c r="A57" s="1" t="s">
        <v>449</v>
      </c>
      <c r="B57" s="1" t="s">
        <v>158</v>
      </c>
      <c r="C57" s="1" t="s">
        <v>615</v>
      </c>
      <c r="D57" s="1" t="s">
        <v>642</v>
      </c>
      <c r="E57" s="1" t="str">
        <f>_xlfn.XLOOKUP(A:A,[3]Matriz!$E:$E,[3]Matriz!$GT:$GT)</f>
        <v>B - D - A4</v>
      </c>
      <c r="F57" s="1" t="str">
        <f>_xlfn.XLOOKUP(A:A,[3]Matriz!$E:$E,[3]Matriz!$J:$J)</f>
        <v>c.araya@global.komatsu</v>
      </c>
    </row>
    <row r="58" spans="1:6" x14ac:dyDescent="0.35">
      <c r="A58" s="1" t="s">
        <v>407</v>
      </c>
      <c r="B58" s="1" t="s">
        <v>159</v>
      </c>
      <c r="C58" s="1" t="s">
        <v>615</v>
      </c>
      <c r="D58" s="1" t="s">
        <v>632</v>
      </c>
      <c r="E58" s="1" t="str">
        <f>_xlfn.XLOOKUP(A:A,[3]Matriz!$E:$E,[3]Matriz!$GT:$GT)</f>
        <v>B - D</v>
      </c>
      <c r="F58" s="1" t="str">
        <f>_xlfn.XLOOKUP(A:A,[3]Matriz!$E:$E,[3]Matriz!$J:$J)</f>
        <v>cristian.ardiles.a@global.komatsu</v>
      </c>
    </row>
    <row r="59" spans="1:6" x14ac:dyDescent="0.35">
      <c r="A59" s="1" t="s">
        <v>309</v>
      </c>
      <c r="B59" s="1" t="s">
        <v>35</v>
      </c>
      <c r="C59" s="1" t="s">
        <v>615</v>
      </c>
      <c r="D59" s="1" t="s">
        <v>623</v>
      </c>
      <c r="E59" s="1" t="str">
        <f>_xlfn.XLOOKUP(A:A,[3]Matriz!$E:$E,[3]Matriz!$GT:$GT)</f>
        <v/>
      </c>
      <c r="F59" s="1" t="str">
        <f>_xlfn.XLOOKUP(A:A,[3]Matriz!$E:$E,[3]Matriz!$J:$J)</f>
        <v>cristian.azocar@global.komatsu</v>
      </c>
    </row>
    <row r="60" spans="1:6" x14ac:dyDescent="0.35">
      <c r="A60" s="1" t="s">
        <v>347</v>
      </c>
      <c r="B60" s="1" t="s">
        <v>136</v>
      </c>
      <c r="C60" s="1" t="s">
        <v>615</v>
      </c>
      <c r="D60" s="1" t="s">
        <v>629</v>
      </c>
      <c r="E60" s="1" t="str">
        <f>_xlfn.XLOOKUP(A:A,[3]Matriz!$E:$E,[3]Matriz!$GT:$GT)</f>
        <v>B - D</v>
      </c>
      <c r="F60" s="1" t="str">
        <f>_xlfn.XLOOKUP(A:A,[3]Matriz!$E:$E,[3]Matriz!$J:$J)</f>
        <v>cristian.cardenas@global.komatsu</v>
      </c>
    </row>
    <row r="61" spans="1:6" x14ac:dyDescent="0.35">
      <c r="A61" s="1" t="s">
        <v>342</v>
      </c>
      <c r="B61" s="1" t="s">
        <v>160</v>
      </c>
      <c r="C61" s="1" t="s">
        <v>615</v>
      </c>
      <c r="D61" s="1" t="s">
        <v>623</v>
      </c>
      <c r="E61" s="1" t="str">
        <f>_xlfn.XLOOKUP(A:A,[3]Matriz!$E:$E,[3]Matriz!$GT:$GT)</f>
        <v>B - D</v>
      </c>
      <c r="F61" s="1" t="str">
        <f>_xlfn.XLOOKUP(A:A,[3]Matriz!$E:$E,[3]Matriz!$J:$J)</f>
        <v>cristian.choque.r@global.komatsu</v>
      </c>
    </row>
    <row r="62" spans="1:6" x14ac:dyDescent="0.35">
      <c r="A62" s="1" t="s">
        <v>434</v>
      </c>
      <c r="B62" s="8" t="s">
        <v>145</v>
      </c>
      <c r="C62" s="1" t="s">
        <v>615</v>
      </c>
      <c r="D62" s="1" t="s">
        <v>654</v>
      </c>
      <c r="E62" s="1" t="str">
        <f>_xlfn.XLOOKUP(A:A,[3]Matriz!$E:$E,[3]Matriz!$GT:$GT)</f>
        <v>B - D - A4</v>
      </c>
      <c r="F62" s="1" t="str">
        <f>_xlfn.XLOOKUP(A:A,[3]Matriz!$E:$E,[3]Matriz!$J:$J)</f>
        <v>cristian.guerrero@global.komatsu</v>
      </c>
    </row>
    <row r="63" spans="1:6" x14ac:dyDescent="0.35">
      <c r="A63" s="1" t="s">
        <v>517</v>
      </c>
      <c r="B63" s="1" t="s">
        <v>88</v>
      </c>
      <c r="C63" s="1" t="s">
        <v>615</v>
      </c>
      <c r="D63" s="1" t="s">
        <v>629</v>
      </c>
      <c r="E63" s="1" t="str">
        <f>_xlfn.XLOOKUP(A:A,[3]Matriz!$E:$E,[3]Matriz!$GT:$GT)</f>
        <v>B - D</v>
      </c>
      <c r="F63" s="1" t="str">
        <f>_xlfn.XLOOKUP(A:A,[3]Matriz!$E:$E,[3]Matriz!$J:$J)</f>
        <v>cristian.norambuena@global.komatsu</v>
      </c>
    </row>
    <row r="64" spans="1:6" x14ac:dyDescent="0.35">
      <c r="A64" s="1" t="s">
        <v>319</v>
      </c>
      <c r="B64" s="1" t="s">
        <v>320</v>
      </c>
      <c r="C64" s="1" t="s">
        <v>615</v>
      </c>
      <c r="D64" s="1" t="s">
        <v>623</v>
      </c>
      <c r="E64" s="1" t="str">
        <f>_xlfn.XLOOKUP(A:A,[3]Matriz!$E:$E,[3]Matriz!$GT:$GT)</f>
        <v/>
      </c>
      <c r="F64" s="1" t="str">
        <f>_xlfn.XLOOKUP(A:A,[3]Matriz!$E:$E,[3]Matriz!$J:$J)</f>
        <v>cristian.vera@global.komatsu</v>
      </c>
    </row>
    <row r="65" spans="1:6" x14ac:dyDescent="0.35">
      <c r="A65" s="1" t="s">
        <v>248</v>
      </c>
      <c r="B65" s="1" t="s">
        <v>89</v>
      </c>
      <c r="C65" s="1" t="s">
        <v>615</v>
      </c>
      <c r="D65" s="1" t="s">
        <v>687</v>
      </c>
      <c r="E65" s="1" t="str">
        <f>_xlfn.XLOOKUP(A:A,[3]Matriz!$E:$E,[3]Matriz!$GT:$GT)</f>
        <v>B - D - A4</v>
      </c>
      <c r="F65" s="1" t="str">
        <f>_xlfn.XLOOKUP(A:A,[3]Matriz!$E:$E,[3]Matriz!$J:$J)</f>
        <v>cristopher.bravo@global.komatsu</v>
      </c>
    </row>
    <row r="66" spans="1:6" x14ac:dyDescent="0.35">
      <c r="A66" s="1" t="s">
        <v>569</v>
      </c>
      <c r="B66" s="1" t="s">
        <v>570</v>
      </c>
      <c r="C66" s="1" t="s">
        <v>615</v>
      </c>
      <c r="D66" s="1" t="s">
        <v>618</v>
      </c>
      <c r="E66" s="1" t="str">
        <f>_xlfn.XLOOKUP(A:A,[3]Matriz!$E:$E,[3]Matriz!$GT:$GT)</f>
        <v>B</v>
      </c>
      <c r="F66" s="1" t="str">
        <f>_xlfn.XLOOKUP(A:A,[3]Matriz!$E:$E,[3]Matriz!$J:$J)</f>
        <v>cristopher.diaz.c@global.komatsu</v>
      </c>
    </row>
    <row r="67" spans="1:6" x14ac:dyDescent="0.35">
      <c r="A67" s="1" t="s">
        <v>468</v>
      </c>
      <c r="B67" s="1" t="s">
        <v>204</v>
      </c>
      <c r="C67" s="1" t="s">
        <v>615</v>
      </c>
      <c r="D67" s="1" t="s">
        <v>623</v>
      </c>
      <c r="E67" s="1" t="str">
        <f>_xlfn.XLOOKUP(A:A,[3]Matriz!$E:$E,[3]Matriz!$GT:$GT)</f>
        <v/>
      </c>
      <c r="F67" s="1" t="str">
        <f>_xlfn.XLOOKUP(A:A,[3]Matriz!$E:$E,[3]Matriz!$J:$J)</f>
        <v>damian.mendizabal@global.komatsu</v>
      </c>
    </row>
    <row r="68" spans="1:6" x14ac:dyDescent="0.35">
      <c r="A68" s="1" t="s">
        <v>497</v>
      </c>
      <c r="B68" s="1" t="s">
        <v>36</v>
      </c>
      <c r="C68" s="1" t="s">
        <v>615</v>
      </c>
      <c r="D68" s="1" t="s">
        <v>642</v>
      </c>
      <c r="E68" s="1" t="str">
        <f>_xlfn.XLOOKUP(A:A,[3]Matriz!$E:$E,[3]Matriz!$GT:$GT)</f>
        <v>B - D</v>
      </c>
      <c r="F68" s="1" t="str">
        <f>_xlfn.XLOOKUP(A:A,[3]Matriz!$E:$E,[3]Matriz!$J:$J)</f>
        <v>damian.ordenes.c@global.komatsu</v>
      </c>
    </row>
    <row r="69" spans="1:6" x14ac:dyDescent="0.35">
      <c r="A69" s="1" t="s">
        <v>299</v>
      </c>
      <c r="B69" s="1" t="s">
        <v>161</v>
      </c>
      <c r="C69" s="1" t="s">
        <v>615</v>
      </c>
      <c r="D69" s="1" t="s">
        <v>643</v>
      </c>
      <c r="E69" s="1" t="str">
        <f>_xlfn.XLOOKUP(A:A,[3]Matriz!$E:$E,[3]Matriz!$GT:$GT)</f>
        <v>B</v>
      </c>
      <c r="F69" s="1" t="str">
        <f>_xlfn.XLOOKUP(A:A,[3]Matriz!$E:$E,[3]Matriz!$J:$J)</f>
        <v>daniel.barrientos@global.komatsu</v>
      </c>
    </row>
    <row r="70" spans="1:6" x14ac:dyDescent="0.35">
      <c r="A70" s="1" t="s">
        <v>540</v>
      </c>
      <c r="B70" s="1" t="s">
        <v>205</v>
      </c>
      <c r="C70" s="1" t="s">
        <v>615</v>
      </c>
      <c r="D70" s="1" t="s">
        <v>680</v>
      </c>
      <c r="E70" s="1" t="str">
        <f>_xlfn.XLOOKUP(A:A,[3]Matriz!$E:$E,[3]Matriz!$GT:$GT)</f>
        <v>B - D - A4</v>
      </c>
      <c r="F70" s="1" t="str">
        <f>_xlfn.XLOOKUP(A:A,[3]Matriz!$E:$E,[3]Matriz!$J:$J)</f>
        <v>daniel.ona@global.komatsu </v>
      </c>
    </row>
    <row r="71" spans="1:6" x14ac:dyDescent="0.35">
      <c r="A71" s="1" t="s">
        <v>374</v>
      </c>
      <c r="B71" s="1" t="s">
        <v>9</v>
      </c>
      <c r="C71" s="1" t="s">
        <v>615</v>
      </c>
      <c r="D71" s="1" t="s">
        <v>663</v>
      </c>
      <c r="E71" s="1" t="str">
        <f>_xlfn.XLOOKUP(A:A,[3]Matriz!$E:$E,[3]Matriz!$GT:$GT)</f>
        <v>B - D - A4</v>
      </c>
      <c r="F71" s="1" t="str">
        <f>_xlfn.XLOOKUP(A:A,[3]Matriz!$E:$E,[3]Matriz!$J:$J)</f>
        <v>daniel.pena@global.komatsu</v>
      </c>
    </row>
    <row r="72" spans="1:6" x14ac:dyDescent="0.35">
      <c r="A72" s="1" t="s">
        <v>383</v>
      </c>
      <c r="B72" s="1" t="s">
        <v>384</v>
      </c>
      <c r="C72" s="1" t="s">
        <v>615</v>
      </c>
      <c r="D72" s="1" t="s">
        <v>623</v>
      </c>
      <c r="E72" s="1" t="str">
        <f>_xlfn.XLOOKUP(A:A,[3]Matriz!$E:$E,[3]Matriz!$GT:$GT)</f>
        <v>B</v>
      </c>
      <c r="F72" s="1" t="str">
        <f>_xlfn.XLOOKUP(A:A,[3]Matriz!$E:$E,[3]Matriz!$J:$J)</f>
        <v>david.dantagnan@global.komatsu</v>
      </c>
    </row>
    <row r="73" spans="1:6" x14ac:dyDescent="0.35">
      <c r="A73" s="1" t="s">
        <v>418</v>
      </c>
      <c r="B73" s="1" t="s">
        <v>90</v>
      </c>
      <c r="C73" s="1" t="s">
        <v>615</v>
      </c>
      <c r="D73" s="1" t="s">
        <v>623</v>
      </c>
      <c r="E73" s="1" t="str">
        <f>_xlfn.XLOOKUP(A:A,[3]Matriz!$E:$E,[3]Matriz!$GT:$GT)</f>
        <v>B - D</v>
      </c>
      <c r="F73" s="1" t="str">
        <f>_xlfn.XLOOKUP(A:A,[3]Matriz!$E:$E,[3]Matriz!$J:$J)</f>
        <v>david.marchant@global.komatsu</v>
      </c>
    </row>
    <row r="74" spans="1:6" x14ac:dyDescent="0.35">
      <c r="A74" s="1" t="s">
        <v>352</v>
      </c>
      <c r="B74" s="1" t="s">
        <v>206</v>
      </c>
      <c r="C74" s="1" t="s">
        <v>615</v>
      </c>
      <c r="D74" s="1" t="s">
        <v>628</v>
      </c>
      <c r="E74" s="1" t="str">
        <f>_xlfn.XLOOKUP(A:A,[3]Matriz!$E:$E,[3]Matriz!$GT:$GT)</f>
        <v>B - D - A4</v>
      </c>
      <c r="F74" s="1" t="str">
        <f>_xlfn.XLOOKUP(A:A,[3]Matriz!$E:$E,[3]Matriz!$J:$J)</f>
        <v>david.molina@global.komatsu</v>
      </c>
    </row>
    <row r="75" spans="1:6" x14ac:dyDescent="0.35">
      <c r="A75" s="1" t="s">
        <v>461</v>
      </c>
      <c r="B75" s="1" t="s">
        <v>162</v>
      </c>
      <c r="C75" s="1" t="s">
        <v>615</v>
      </c>
      <c r="D75" s="1" t="s">
        <v>655</v>
      </c>
      <c r="E75" s="1" t="str">
        <f>_xlfn.XLOOKUP(A:A,[3]Matriz!$E:$E,[3]Matriz!$GT:$GT)</f>
        <v>B</v>
      </c>
      <c r="F75" s="1" t="str">
        <f>_xlfn.XLOOKUP(A:A,[3]Matriz!$E:$E,[3]Matriz!$J:$J)</f>
        <v>david.salgado@global.komatsu</v>
      </c>
    </row>
    <row r="76" spans="1:6" x14ac:dyDescent="0.35">
      <c r="A76" s="1" t="s">
        <v>389</v>
      </c>
      <c r="B76" s="1" t="s">
        <v>24</v>
      </c>
      <c r="C76" s="1" t="s">
        <v>615</v>
      </c>
      <c r="D76" s="1" t="s">
        <v>656</v>
      </c>
      <c r="E76" s="1" t="str">
        <f>_xlfn.XLOOKUP(A:A,[3]Matriz!$E:$E,[3]Matriz!$GT:$GT)</f>
        <v/>
      </c>
      <c r="F76" s="1" t="str">
        <f>_xlfn.XLOOKUP(A:A,[3]Matriz!$E:$E,[3]Matriz!$J:$J)</f>
        <v>daylin.chavez.c@global.komatsu</v>
      </c>
    </row>
    <row r="77" spans="1:6" x14ac:dyDescent="0.35">
      <c r="A77" s="1" t="s">
        <v>361</v>
      </c>
      <c r="B77" s="1" t="s">
        <v>91</v>
      </c>
      <c r="C77" s="1" t="s">
        <v>615</v>
      </c>
      <c r="D77" s="1" t="s">
        <v>623</v>
      </c>
      <c r="E77" s="1" t="str">
        <f>_xlfn.XLOOKUP(A:A,[3]Matriz!$E:$E,[3]Matriz!$GT:$GT)</f>
        <v>B</v>
      </c>
      <c r="F77" s="1" t="str">
        <f>_xlfn.XLOOKUP(A:A,[3]Matriz!$E:$E,[3]Matriz!$J:$J)</f>
        <v>deivyd.hidalgo@global.komatsu</v>
      </c>
    </row>
    <row r="78" spans="1:6" x14ac:dyDescent="0.35">
      <c r="A78" s="1" t="s">
        <v>429</v>
      </c>
      <c r="B78" s="1" t="s">
        <v>10</v>
      </c>
      <c r="C78" s="1" t="s">
        <v>615</v>
      </c>
      <c r="D78" s="1" t="s">
        <v>654</v>
      </c>
      <c r="E78" s="1" t="str">
        <f>_xlfn.XLOOKUP(A:A,[3]Matriz!$E:$E,[3]Matriz!$GT:$GT)</f>
        <v>B - D - A4</v>
      </c>
      <c r="F78" s="1" t="str">
        <f>_xlfn.XLOOKUP(A:A,[3]Matriz!$E:$E,[3]Matriz!$J:$J)</f>
        <v>diego.garay@global.komatsu</v>
      </c>
    </row>
    <row r="79" spans="1:6" x14ac:dyDescent="0.35">
      <c r="A79" s="1" t="s">
        <v>325</v>
      </c>
      <c r="B79" s="1" t="s">
        <v>163</v>
      </c>
      <c r="C79" s="1" t="s">
        <v>615</v>
      </c>
      <c r="D79" s="1" t="s">
        <v>623</v>
      </c>
      <c r="E79" s="1" t="str">
        <f>_xlfn.XLOOKUP(A:A,[3]Matriz!$E:$E,[3]Matriz!$GT:$GT)</f>
        <v>B - D</v>
      </c>
      <c r="F79" s="1" t="str">
        <f>_xlfn.XLOOKUP(A:A,[3]Matriz!$E:$E,[3]Matriz!$J:$J)</f>
        <v>diego.mamani@global.komatsu </v>
      </c>
    </row>
    <row r="80" spans="1:6" x14ac:dyDescent="0.35">
      <c r="A80" s="1" t="s">
        <v>472</v>
      </c>
      <c r="B80" s="1" t="s">
        <v>207</v>
      </c>
      <c r="C80" s="1" t="s">
        <v>615</v>
      </c>
      <c r="D80" s="1" t="s">
        <v>623</v>
      </c>
      <c r="E80" s="1" t="str">
        <f>_xlfn.XLOOKUP(A:A,[3]Matriz!$E:$E,[3]Matriz!$GT:$GT)</f>
        <v/>
      </c>
      <c r="F80" s="1" t="str">
        <f>_xlfn.XLOOKUP(A:A,[3]Matriz!$E:$E,[3]Matriz!$J:$J)</f>
        <v>dylan.castillo@global.komatsu</v>
      </c>
    </row>
    <row r="81" spans="1:6" x14ac:dyDescent="0.35">
      <c r="A81" s="1" t="s">
        <v>537</v>
      </c>
      <c r="B81" s="1" t="s">
        <v>538</v>
      </c>
      <c r="C81" s="1" t="s">
        <v>615</v>
      </c>
      <c r="D81" s="1" t="s">
        <v>661</v>
      </c>
      <c r="E81" s="1" t="str">
        <f>_xlfn.XLOOKUP(A:A,[3]Matriz!$E:$E,[3]Matriz!$GT:$GT)</f>
        <v>B - D - A4</v>
      </c>
      <c r="F81" s="1" t="str">
        <f>_xlfn.XLOOKUP(A:A,[3]Matriz!$E:$E,[3]Matriz!$J:$J)</f>
        <v>edgard.aravena@global.komatsu</v>
      </c>
    </row>
    <row r="82" spans="1:6" x14ac:dyDescent="0.35">
      <c r="A82" s="1" t="s">
        <v>249</v>
      </c>
      <c r="B82" s="1" t="s">
        <v>250</v>
      </c>
      <c r="C82" s="1" t="s">
        <v>615</v>
      </c>
      <c r="D82" s="1" t="s">
        <v>659</v>
      </c>
      <c r="E82" s="1" t="str">
        <f>_xlfn.XLOOKUP(A:A,[3]Matriz!$E:$E,[3]Matriz!$GT:$GT)</f>
        <v/>
      </c>
      <c r="F82" s="1" t="str">
        <f>_xlfn.XLOOKUP(A:A,[3]Matriz!$E:$E,[3]Matriz!$J:$J)</f>
        <v>edgard.lorca@global.komatsu</v>
      </c>
    </row>
    <row r="83" spans="1:6" x14ac:dyDescent="0.35">
      <c r="A83" s="1" t="s">
        <v>405</v>
      </c>
      <c r="B83" s="1" t="s">
        <v>164</v>
      </c>
      <c r="C83" s="1" t="s">
        <v>615</v>
      </c>
      <c r="D83" s="1" t="s">
        <v>647</v>
      </c>
      <c r="E83" s="1" t="str">
        <f>_xlfn.XLOOKUP(A:A,[3]Matriz!$E:$E,[3]Matriz!$GT:$GT)</f>
        <v/>
      </c>
      <c r="F83" s="1" t="str">
        <f>_xlfn.XLOOKUP(A:A,[3]Matriz!$E:$E,[3]Matriz!$J:$J)</f>
        <v>eduardo.gomezt@global.komatsu</v>
      </c>
    </row>
    <row r="84" spans="1:6" x14ac:dyDescent="0.35">
      <c r="A84" s="1" t="s">
        <v>560</v>
      </c>
      <c r="B84" s="1" t="s">
        <v>561</v>
      </c>
      <c r="C84" s="1" t="s">
        <v>615</v>
      </c>
      <c r="D84" s="1" t="s">
        <v>623</v>
      </c>
      <c r="E84" s="1" t="str">
        <f>_xlfn.XLOOKUP(A:A,[3]Matriz!$E:$E,[3]Matriz!$GT:$GT)</f>
        <v>B</v>
      </c>
      <c r="F84" s="1" t="str">
        <f>_xlfn.XLOOKUP(A:A,[3]Matriz!$E:$E,[3]Matriz!$J:$J)</f>
        <v>eduardo.lanas.c@global.komatsu</v>
      </c>
    </row>
    <row r="85" spans="1:6" x14ac:dyDescent="0.35">
      <c r="A85" s="1" t="s">
        <v>296</v>
      </c>
      <c r="B85" s="1" t="s">
        <v>37</v>
      </c>
      <c r="C85" s="1" t="s">
        <v>615</v>
      </c>
      <c r="D85" s="1" t="s">
        <v>633</v>
      </c>
      <c r="E85" s="1" t="str">
        <f>_xlfn.XLOOKUP(A:A,[3]Matriz!$E:$E,[3]Matriz!$GT:$GT)</f>
        <v>B - A4</v>
      </c>
      <c r="F85" s="1" t="str">
        <f>_xlfn.XLOOKUP(A:A,[3]Matriz!$E:$E,[3]Matriz!$J:$J)</f>
        <v>elias.contreras.m@global.komatsu</v>
      </c>
    </row>
    <row r="86" spans="1:6" x14ac:dyDescent="0.35">
      <c r="A86" s="1" t="s">
        <v>408</v>
      </c>
      <c r="B86" s="1" t="s">
        <v>38</v>
      </c>
      <c r="C86" s="1" t="s">
        <v>615</v>
      </c>
      <c r="D86" s="1" t="s">
        <v>676</v>
      </c>
      <c r="E86" s="1" t="str">
        <f>_xlfn.XLOOKUP(A:A,[3]Matriz!$E:$E,[3]Matriz!$GT:$GT)</f>
        <v/>
      </c>
      <c r="F86" s="1" t="str">
        <f>_xlfn.XLOOKUP(A:A,[3]Matriz!$E:$E,[3]Matriz!$J:$J)</f>
        <v>elver.aguilar@global.komatsu</v>
      </c>
    </row>
    <row r="87" spans="1:6" x14ac:dyDescent="0.35">
      <c r="A87" s="1" t="s">
        <v>467</v>
      </c>
      <c r="B87" s="1" t="s">
        <v>92</v>
      </c>
      <c r="C87" s="1" t="s">
        <v>615</v>
      </c>
      <c r="D87" s="1" t="s">
        <v>665</v>
      </c>
      <c r="E87" s="1" t="str">
        <f>_xlfn.XLOOKUP(A:A,[3]Matriz!$E:$E,[3]Matriz!$GT:$GT)</f>
        <v>B - D - A4</v>
      </c>
      <c r="F87" s="1" t="str">
        <f>_xlfn.XLOOKUP(A:A,[3]Matriz!$E:$E,[3]Matriz!$J:$J)</f>
        <v>Emiliano.Bustos@global.komatsu</v>
      </c>
    </row>
    <row r="88" spans="1:6" x14ac:dyDescent="0.35">
      <c r="A88" s="1" t="s">
        <v>367</v>
      </c>
      <c r="B88" s="1" t="s">
        <v>93</v>
      </c>
      <c r="C88" s="1" t="s">
        <v>615</v>
      </c>
      <c r="D88" s="1" t="s">
        <v>623</v>
      </c>
      <c r="E88" s="1" t="str">
        <f>_xlfn.XLOOKUP(A:A,[3]Matriz!$E:$E,[3]Matriz!$GT:$GT)</f>
        <v>B - D - A4</v>
      </c>
      <c r="F88" s="1" t="str">
        <f>_xlfn.XLOOKUP(A:A,[3]Matriz!$E:$E,[3]Matriz!$J:$J)</f>
        <v>emilio.araneda@global.komatsu</v>
      </c>
    </row>
    <row r="89" spans="1:6" x14ac:dyDescent="0.35">
      <c r="A89" s="1" t="s">
        <v>428</v>
      </c>
      <c r="B89" s="1" t="s">
        <v>94</v>
      </c>
      <c r="C89" s="1" t="s">
        <v>615</v>
      </c>
      <c r="D89" s="1" t="s">
        <v>676</v>
      </c>
      <c r="E89" s="1" t="str">
        <f>_xlfn.XLOOKUP(A:A,[3]Matriz!$E:$E,[3]Matriz!$GT:$GT)</f>
        <v>B</v>
      </c>
      <c r="F89" s="1" t="str">
        <f>_xlfn.XLOOKUP(A:A,[3]Matriz!$E:$E,[3]Matriz!$J:$J)</f>
        <v>esteban.colque@global.komatsu</v>
      </c>
    </row>
    <row r="90" spans="1:6" x14ac:dyDescent="0.35">
      <c r="A90" s="1" t="s">
        <v>379</v>
      </c>
      <c r="B90" s="1" t="s">
        <v>95</v>
      </c>
      <c r="C90" s="1" t="s">
        <v>615</v>
      </c>
      <c r="D90" s="1" t="s">
        <v>624</v>
      </c>
      <c r="E90" s="1" t="str">
        <f>_xlfn.XLOOKUP(A:A,[3]Matriz!$E:$E,[3]Matriz!$GT:$GT)</f>
        <v>B</v>
      </c>
      <c r="F90" s="1" t="str">
        <f>_xlfn.XLOOKUP(A:A,[3]Matriz!$E:$E,[3]Matriz!$J:$J)</f>
        <v>esteban.munoz@global.komatsu</v>
      </c>
    </row>
    <row r="91" spans="1:6" x14ac:dyDescent="0.35">
      <c r="A91" s="1" t="s">
        <v>527</v>
      </c>
      <c r="B91" s="1" t="s">
        <v>208</v>
      </c>
      <c r="C91" s="1" t="s">
        <v>615</v>
      </c>
      <c r="D91" s="1" t="s">
        <v>650</v>
      </c>
      <c r="E91" s="1" t="str">
        <f>_xlfn.XLOOKUP(A:A,[3]Matriz!$E:$E,[3]Matriz!$GT:$GT)</f>
        <v>B - D</v>
      </c>
      <c r="F91" s="1" t="str">
        <f>_xlfn.XLOOKUP(A:A,[3]Matriz!$E:$E,[3]Matriz!$J:$J)</f>
        <v>ezequiel.gonzalez@global.komatsu</v>
      </c>
    </row>
    <row r="92" spans="1:6" x14ac:dyDescent="0.35">
      <c r="A92" s="1" t="s">
        <v>411</v>
      </c>
      <c r="B92" s="1" t="s">
        <v>165</v>
      </c>
      <c r="C92" s="1" t="s">
        <v>615</v>
      </c>
      <c r="D92" s="1" t="s">
        <v>624</v>
      </c>
      <c r="E92" s="1" t="str">
        <f>_xlfn.XLOOKUP(A:A,[3]Matriz!$E:$E,[3]Matriz!$GT:$GT)</f>
        <v/>
      </c>
      <c r="F92" s="1" t="str">
        <f>_xlfn.XLOOKUP(A:A,[3]Matriz!$E:$E,[3]Matriz!$J:$J)</f>
        <v>fabian.barrera@global.komatsu</v>
      </c>
    </row>
    <row r="93" spans="1:6" x14ac:dyDescent="0.35">
      <c r="A93" s="1" t="s">
        <v>317</v>
      </c>
      <c r="B93" s="1" t="s">
        <v>96</v>
      </c>
      <c r="C93" s="1" t="s">
        <v>615</v>
      </c>
      <c r="D93" s="1" t="s">
        <v>623</v>
      </c>
      <c r="E93" s="1" t="str">
        <f>_xlfn.XLOOKUP(A:A,[3]Matriz!$E:$E,[3]Matriz!$GT:$GT)</f>
        <v/>
      </c>
      <c r="F93" s="1" t="str">
        <f>_xlfn.XLOOKUP(A:A,[3]Matriz!$E:$E,[3]Matriz!$J:$J)</f>
        <v>fabian.contreras@global.komatsu</v>
      </c>
    </row>
    <row r="94" spans="1:6" x14ac:dyDescent="0.35">
      <c r="A94" s="1" t="s">
        <v>302</v>
      </c>
      <c r="B94" s="1" t="s">
        <v>166</v>
      </c>
      <c r="C94" s="1" t="s">
        <v>615</v>
      </c>
      <c r="D94" s="1" t="s">
        <v>650</v>
      </c>
      <c r="E94" s="1" t="str">
        <f>_xlfn.XLOOKUP(A:A,[3]Matriz!$E:$E,[3]Matriz!$GT:$GT)</f>
        <v>B - D - A4</v>
      </c>
      <c r="F94" s="1" t="str">
        <f>_xlfn.XLOOKUP(A:A,[3]Matriz!$E:$E,[3]Matriz!$J:$J)</f>
        <v>fabian.ortiz@global.komatsu</v>
      </c>
    </row>
    <row r="95" spans="1:6" x14ac:dyDescent="0.35">
      <c r="A95" s="1" t="s">
        <v>341</v>
      </c>
      <c r="B95" s="1" t="s">
        <v>97</v>
      </c>
      <c r="C95" s="1" t="s">
        <v>615</v>
      </c>
      <c r="D95" s="1" t="s">
        <v>623</v>
      </c>
      <c r="E95" s="1" t="str">
        <f>_xlfn.XLOOKUP(A:A,[3]Matriz!$E:$E,[3]Matriz!$GT:$GT)</f>
        <v/>
      </c>
      <c r="F95" s="1" t="str">
        <f>_xlfn.XLOOKUP(A:A,[3]Matriz!$E:$E,[3]Matriz!$J:$J)</f>
        <v>fabian.rojas.o@global.komatsu</v>
      </c>
    </row>
    <row r="96" spans="1:6" x14ac:dyDescent="0.35">
      <c r="A96" s="1" t="s">
        <v>264</v>
      </c>
      <c r="B96" s="1" t="s">
        <v>11</v>
      </c>
      <c r="C96" s="1" t="s">
        <v>615</v>
      </c>
      <c r="D96" s="1" t="s">
        <v>619</v>
      </c>
      <c r="E96" s="1" t="str">
        <f>_xlfn.XLOOKUP(A:A,[3]Matriz!$E:$E,[3]Matriz!$GT:$GT)</f>
        <v>B</v>
      </c>
      <c r="F96" s="1" t="str">
        <f>_xlfn.XLOOKUP(A:A,[3]Matriz!$E:$E,[3]Matriz!$J:$J)</f>
        <v>fabiola.soto@global.komatsu</v>
      </c>
    </row>
    <row r="97" spans="1:6" x14ac:dyDescent="0.35">
      <c r="A97" s="1" t="s">
        <v>377</v>
      </c>
      <c r="B97" s="1" t="s">
        <v>39</v>
      </c>
      <c r="C97" s="1" t="s">
        <v>615</v>
      </c>
      <c r="D97" s="1" t="s">
        <v>624</v>
      </c>
      <c r="E97" s="1" t="str">
        <f>_xlfn.XLOOKUP(A:A,[3]Matriz!$E:$E,[3]Matriz!$GT:$GT)</f>
        <v>B - A4</v>
      </c>
      <c r="F97" s="1" t="str">
        <f>_xlfn.XLOOKUP(A:A,[3]Matriz!$E:$E,[3]Matriz!$J:$J)</f>
        <v>felipe.cuevas@global.komatsu</v>
      </c>
    </row>
    <row r="98" spans="1:6" x14ac:dyDescent="0.35">
      <c r="A98" s="1" t="s">
        <v>524</v>
      </c>
      <c r="B98" s="1" t="s">
        <v>77</v>
      </c>
      <c r="C98" s="1" t="s">
        <v>615</v>
      </c>
      <c r="D98" s="1" t="s">
        <v>648</v>
      </c>
      <c r="E98" s="1" t="str">
        <f>_xlfn.XLOOKUP(A:A,[3]Matriz!$E:$E,[3]Matriz!$GT:$GT)</f>
        <v>B - D</v>
      </c>
      <c r="F98" s="1" t="str">
        <f>_xlfn.XLOOKUP(A:A,[3]Matriz!$E:$E,[3]Matriz!$J:$J)</f>
        <v>felipe.diaz@global.komatsu</v>
      </c>
    </row>
    <row r="99" spans="1:6" x14ac:dyDescent="0.35">
      <c r="A99" s="1" t="s">
        <v>549</v>
      </c>
      <c r="B99" s="1" t="s">
        <v>137</v>
      </c>
      <c r="C99" s="1" t="s">
        <v>615</v>
      </c>
      <c r="D99" s="1" t="s">
        <v>656</v>
      </c>
      <c r="E99" s="1" t="str">
        <f>_xlfn.XLOOKUP(A:A,[3]Matriz!$E:$E,[3]Matriz!$GT:$GT)</f>
        <v/>
      </c>
      <c r="F99" s="1" t="str">
        <f>_xlfn.XLOOKUP(A:A,[3]Matriz!$E:$E,[3]Matriz!$J:$J)</f>
        <v>felipe.gonzalez.f@global.komatsu</v>
      </c>
    </row>
    <row r="100" spans="1:6" x14ac:dyDescent="0.35">
      <c r="A100" s="1" t="s">
        <v>391</v>
      </c>
      <c r="B100" s="1" t="s">
        <v>98</v>
      </c>
      <c r="C100" s="1" t="s">
        <v>615</v>
      </c>
      <c r="D100" s="1" t="s">
        <v>665</v>
      </c>
      <c r="E100" s="1" t="str">
        <f>_xlfn.XLOOKUP(A:A,[3]Matriz!$E:$E,[3]Matriz!$GT:$GT)</f>
        <v>B</v>
      </c>
      <c r="F100" s="1" t="str">
        <f>_xlfn.XLOOKUP(A:A,[3]Matriz!$E:$E,[3]Matriz!$J:$J)</f>
        <v>felix.paolini@global.komatsu</v>
      </c>
    </row>
    <row r="101" spans="1:6" x14ac:dyDescent="0.35">
      <c r="A101" s="1" t="s">
        <v>430</v>
      </c>
      <c r="B101" s="1" t="s">
        <v>209</v>
      </c>
      <c r="C101" s="1" t="s">
        <v>615</v>
      </c>
      <c r="D101" s="1" t="s">
        <v>673</v>
      </c>
      <c r="E101" s="1" t="str">
        <f>_xlfn.XLOOKUP(A:A,[3]Matriz!$E:$E,[3]Matriz!$GT:$GT)</f>
        <v/>
      </c>
      <c r="F101" s="1" t="str">
        <f>_xlfn.XLOOKUP(A:A,[3]Matriz!$E:$E,[3]Matriz!$J:$J)</f>
        <v>fernando.barrera@global.komatsu</v>
      </c>
    </row>
    <row r="102" spans="1:6" x14ac:dyDescent="0.35">
      <c r="A102" s="1" t="s">
        <v>520</v>
      </c>
      <c r="B102" s="1" t="s">
        <v>40</v>
      </c>
      <c r="C102" s="1" t="s">
        <v>615</v>
      </c>
      <c r="D102" s="1" t="s">
        <v>632</v>
      </c>
      <c r="E102" s="1" t="str">
        <f>_xlfn.XLOOKUP(A:A,[3]Matriz!$E:$E,[3]Matriz!$GT:$GT)</f>
        <v>B - D</v>
      </c>
      <c r="F102" s="1" t="str">
        <f>_xlfn.XLOOKUP(A:A,[3]Matriz!$E:$E,[3]Matriz!$J:$J)</f>
        <v>fernando.rojas@global.komatsu</v>
      </c>
    </row>
    <row r="103" spans="1:6" x14ac:dyDescent="0.35">
      <c r="A103" s="1" t="s">
        <v>326</v>
      </c>
      <c r="B103" s="1" t="s">
        <v>167</v>
      </c>
      <c r="C103" s="1" t="s">
        <v>615</v>
      </c>
      <c r="D103" s="1" t="s">
        <v>623</v>
      </c>
      <c r="E103" s="1" t="str">
        <f>_xlfn.XLOOKUP(A:A,[3]Matriz!$E:$E,[3]Matriz!$GT:$GT)</f>
        <v>B - D</v>
      </c>
      <c r="F103" s="1" t="str">
        <f>_xlfn.XLOOKUP(A:A,[3]Matriz!$E:$E,[3]Matriz!$J:$J)</f>
        <v>fernando.romero@global.komatsu</v>
      </c>
    </row>
    <row r="104" spans="1:6" x14ac:dyDescent="0.35">
      <c r="A104" s="1" t="s">
        <v>415</v>
      </c>
      <c r="B104" s="1" t="s">
        <v>210</v>
      </c>
      <c r="C104" s="1" t="s">
        <v>615</v>
      </c>
      <c r="D104" s="1" t="s">
        <v>624</v>
      </c>
      <c r="E104" s="1" t="str">
        <f>_xlfn.XLOOKUP(A:A,[3]Matriz!$E:$E,[3]Matriz!$GT:$GT)</f>
        <v>B</v>
      </c>
      <c r="F104" s="1" t="str">
        <f>_xlfn.XLOOKUP(A:A,[3]Matriz!$E:$E,[3]Matriz!$J:$J)</f>
        <v>flavio.saavedra@global.komatsu</v>
      </c>
    </row>
    <row r="105" spans="1:6" x14ac:dyDescent="0.35">
      <c r="A105" s="1" t="s">
        <v>469</v>
      </c>
      <c r="B105" s="1" t="s">
        <v>168</v>
      </c>
      <c r="C105" s="1" t="s">
        <v>615</v>
      </c>
      <c r="D105" s="1" t="s">
        <v>632</v>
      </c>
      <c r="E105" s="1" t="str">
        <f>_xlfn.XLOOKUP(A:A,[3]Matriz!$E:$E,[3]Matriz!$GT:$GT)</f>
        <v>B - D</v>
      </c>
      <c r="F105" s="1" t="str">
        <f>_xlfn.XLOOKUP(A:A,[3]Matriz!$E:$E,[3]Matriz!$J:$J)</f>
        <v>francisco.alvarez.z@global.komatsu</v>
      </c>
    </row>
    <row r="106" spans="1:6" x14ac:dyDescent="0.35">
      <c r="A106" s="1" t="s">
        <v>364</v>
      </c>
      <c r="B106" s="1" t="s">
        <v>169</v>
      </c>
      <c r="C106" s="1" t="s">
        <v>615</v>
      </c>
      <c r="D106" s="1" t="s">
        <v>685</v>
      </c>
      <c r="E106" s="1" t="str">
        <f>_xlfn.XLOOKUP(A:A,[3]Matriz!$E:$E,[3]Matriz!$GT:$GT)</f>
        <v>B</v>
      </c>
      <c r="F106" s="1" t="str">
        <f>_xlfn.XLOOKUP(A:A,[3]Matriz!$E:$E,[3]Matriz!$J:$J)</f>
        <v>francisco.ramirez@global.komatsu</v>
      </c>
    </row>
    <row r="107" spans="1:6" x14ac:dyDescent="0.35">
      <c r="A107" s="1" t="s">
        <v>489</v>
      </c>
      <c r="B107" s="1" t="s">
        <v>490</v>
      </c>
      <c r="C107" s="1" t="s">
        <v>615</v>
      </c>
      <c r="D107" s="1" t="s">
        <v>634</v>
      </c>
      <c r="E107" s="1" t="str">
        <f>_xlfn.XLOOKUP(A:A,[3]Matriz!$E:$E,[3]Matriz!$GT:$GT)</f>
        <v/>
      </c>
      <c r="F107" s="1" t="str">
        <f>_xlfn.XLOOKUP(A:A,[3]Matriz!$E:$E,[3]Matriz!$J:$J)</f>
        <v>francisco.rojas.p@global.komatsu</v>
      </c>
    </row>
    <row r="108" spans="1:6" x14ac:dyDescent="0.35">
      <c r="A108" s="1" t="s">
        <v>502</v>
      </c>
      <c r="B108" s="1" t="s">
        <v>211</v>
      </c>
      <c r="C108" s="1" t="s">
        <v>615</v>
      </c>
      <c r="D108" s="1" t="s">
        <v>626</v>
      </c>
      <c r="E108" s="1" t="str">
        <f>_xlfn.XLOOKUP(A:A,[3]Matriz!$E:$E,[3]Matriz!$GT:$GT)</f>
        <v>B - D</v>
      </c>
      <c r="F108" s="1" t="str">
        <f>_xlfn.XLOOKUP(A:A,[3]Matriz!$E:$E,[3]Matriz!$J:$J)</f>
        <v>francisco.torres.a@global.komatsu</v>
      </c>
    </row>
    <row r="109" spans="1:6" x14ac:dyDescent="0.35">
      <c r="A109" s="1" t="s">
        <v>475</v>
      </c>
      <c r="B109" s="1" t="s">
        <v>41</v>
      </c>
      <c r="C109" s="1" t="s">
        <v>615</v>
      </c>
      <c r="D109" s="1" t="s">
        <v>624</v>
      </c>
      <c r="E109" s="1" t="str">
        <f>_xlfn.XLOOKUP(A:A,[3]Matriz!$E:$E,[3]Matriz!$GT:$GT)</f>
        <v>B</v>
      </c>
      <c r="F109" s="1" t="str">
        <f>_xlfn.XLOOKUP(A:A,[3]Matriz!$E:$E,[3]Matriz!$J:$J)</f>
        <v>francisco.varasc@global.komatsu</v>
      </c>
    </row>
    <row r="110" spans="1:6" x14ac:dyDescent="0.35">
      <c r="A110" s="1" t="s">
        <v>338</v>
      </c>
      <c r="B110" s="1" t="s">
        <v>212</v>
      </c>
      <c r="C110" s="1" t="s">
        <v>615</v>
      </c>
      <c r="D110" s="1" t="s">
        <v>623</v>
      </c>
      <c r="E110" s="1" t="str">
        <f>_xlfn.XLOOKUP(A:A,[3]Matriz!$E:$E,[3]Matriz!$GT:$GT)</f>
        <v>B - D</v>
      </c>
      <c r="F110" s="1" t="str">
        <f>_xlfn.XLOOKUP(A:A,[3]Matriz!$E:$E,[3]Matriz!$J:$J)</f>
        <v>franco.anjel@global.komatsu</v>
      </c>
    </row>
    <row r="111" spans="1:6" x14ac:dyDescent="0.35">
      <c r="A111" s="1" t="s">
        <v>346</v>
      </c>
      <c r="B111" s="1" t="s">
        <v>99</v>
      </c>
      <c r="C111" s="1" t="s">
        <v>615</v>
      </c>
      <c r="D111" s="1" t="s">
        <v>641</v>
      </c>
      <c r="E111" s="1" t="str">
        <f>_xlfn.XLOOKUP(A:A,[3]Matriz!$E:$E,[3]Matriz!$GT:$GT)</f>
        <v>B - D - A4</v>
      </c>
      <c r="F111" s="1" t="str">
        <f>_xlfn.XLOOKUP(A:A,[3]Matriz!$E:$E,[3]Matriz!$J:$J)</f>
        <v>franco.barrera@global.komatsu</v>
      </c>
    </row>
    <row r="112" spans="1:6" x14ac:dyDescent="0.35">
      <c r="A112" s="1" t="s">
        <v>440</v>
      </c>
      <c r="B112" s="1" t="s">
        <v>12</v>
      </c>
      <c r="C112" s="1" t="s">
        <v>615</v>
      </c>
      <c r="D112" s="1" t="s">
        <v>624</v>
      </c>
      <c r="E112" s="1" t="str">
        <f>_xlfn.XLOOKUP(A:A,[3]Matriz!$E:$E,[3]Matriz!$GT:$GT)</f>
        <v>B</v>
      </c>
      <c r="F112" s="1" t="str">
        <f>_xlfn.XLOOKUP(A:A,[3]Matriz!$E:$E,[3]Matriz!$J:$J)</f>
        <v>gabriel.garcia@global.komatsu</v>
      </c>
    </row>
    <row r="113" spans="1:6" x14ac:dyDescent="0.35">
      <c r="A113" s="2" t="s">
        <v>476</v>
      </c>
      <c r="B113" s="1" t="s">
        <v>584</v>
      </c>
      <c r="C113" s="1" t="s">
        <v>615</v>
      </c>
      <c r="D113" s="1" t="s">
        <v>634</v>
      </c>
      <c r="E113" s="1" t="str">
        <f>_xlfn.XLOOKUP(A:A,[3]Matriz!$E:$E,[3]Matriz!$GT:$GT)</f>
        <v>B</v>
      </c>
      <c r="F113" s="1" t="str">
        <f>_xlfn.XLOOKUP(A:A,[3]Matriz!$E:$E,[3]Matriz!$J:$J)</f>
        <v>gary.reygada.f@global.komatsu</v>
      </c>
    </row>
    <row r="114" spans="1:6" x14ac:dyDescent="0.35">
      <c r="A114" s="1" t="s">
        <v>351</v>
      </c>
      <c r="B114" s="1" t="s">
        <v>13</v>
      </c>
      <c r="C114" s="1" t="s">
        <v>615</v>
      </c>
      <c r="D114" s="1" t="s">
        <v>664</v>
      </c>
      <c r="E114" s="1" t="str">
        <f>_xlfn.XLOOKUP(A:A,[3]Matriz!$E:$E,[3]Matriz!$GT:$GT)</f>
        <v>B</v>
      </c>
      <c r="F114" s="1" t="str">
        <f>_xlfn.XLOOKUP(A:A,[3]Matriz!$E:$E,[3]Matriz!$J:$J)</f>
        <v>gerald.perez@global.komatsu</v>
      </c>
    </row>
    <row r="115" spans="1:6" x14ac:dyDescent="0.35">
      <c r="A115" s="1" t="s">
        <v>542</v>
      </c>
      <c r="B115" s="1" t="s">
        <v>543</v>
      </c>
      <c r="C115" s="1" t="s">
        <v>615</v>
      </c>
      <c r="D115" s="1" t="s">
        <v>652</v>
      </c>
      <c r="E115" s="1" t="str">
        <f>_xlfn.XLOOKUP(A:A,[3]Matriz!$E:$E,[3]Matriz!$GT:$GT)</f>
        <v>B</v>
      </c>
      <c r="F115" s="1" t="str">
        <f>_xlfn.XLOOKUP(A:A,[3]Matriz!$E:$E,[3]Matriz!$J:$J)</f>
        <v>gerardo.zamorano.h@global.komatsu</v>
      </c>
    </row>
    <row r="116" spans="1:6" x14ac:dyDescent="0.35">
      <c r="A116" s="2" t="s">
        <v>390</v>
      </c>
      <c r="B116" s="1" t="s">
        <v>146</v>
      </c>
      <c r="C116" s="1" t="s">
        <v>615</v>
      </c>
      <c r="D116" s="1" t="s">
        <v>668</v>
      </c>
      <c r="E116" s="1" t="str">
        <f>_xlfn.XLOOKUP(A:A,[3]Matriz!$E:$E,[3]Matriz!$GT:$GT)</f>
        <v>B</v>
      </c>
      <c r="F116" s="1" t="str">
        <f>_xlfn.XLOOKUP(A:A,[3]Matriz!$E:$E,[3]Matriz!$J:$J)</f>
        <v>giancarlo.huerta.ll@global.komatsu</v>
      </c>
    </row>
    <row r="117" spans="1:6" x14ac:dyDescent="0.35">
      <c r="A117" s="1" t="s">
        <v>514</v>
      </c>
      <c r="B117" s="1" t="s">
        <v>515</v>
      </c>
      <c r="C117" s="1" t="s">
        <v>615</v>
      </c>
      <c r="D117" s="1" t="s">
        <v>619</v>
      </c>
      <c r="E117" s="1" t="str">
        <f>_xlfn.XLOOKUP(A:A,[3]Matriz!$E:$E,[3]Matriz!$GT:$GT)</f>
        <v/>
      </c>
      <c r="F117" s="1" t="str">
        <f>_xlfn.XLOOKUP(A:A,[3]Matriz!$E:$E,[3]Matriz!$J:$J)</f>
        <v>gianfranco.casoni.m@global.komatsu</v>
      </c>
    </row>
    <row r="118" spans="1:6" x14ac:dyDescent="0.35">
      <c r="A118" s="1" t="s">
        <v>365</v>
      </c>
      <c r="B118" s="1" t="s">
        <v>366</v>
      </c>
      <c r="C118" s="1" t="s">
        <v>615</v>
      </c>
      <c r="D118" s="1" t="s">
        <v>634</v>
      </c>
      <c r="E118" s="1" t="str">
        <f>_xlfn.XLOOKUP(A:A,[3]Matriz!$E:$E,[3]Matriz!$GT:$GT)</f>
        <v>B</v>
      </c>
      <c r="F118" s="1" t="str">
        <f>_xlfn.XLOOKUP(A:A,[3]Matriz!$E:$E,[3]Matriz!$J:$J)</f>
        <v>giovanni.contreras@global.komatsu</v>
      </c>
    </row>
    <row r="119" spans="1:6" x14ac:dyDescent="0.35">
      <c r="A119" s="1" t="s">
        <v>533</v>
      </c>
      <c r="B119" s="1" t="s">
        <v>42</v>
      </c>
      <c r="C119" s="1" t="s">
        <v>615</v>
      </c>
      <c r="D119" s="1" t="s">
        <v>647</v>
      </c>
      <c r="E119" s="1" t="str">
        <f>_xlfn.XLOOKUP(A:A,[3]Matriz!$E:$E,[3]Matriz!$GT:$GT)</f>
        <v>B - D - A4</v>
      </c>
      <c r="F119" s="1" t="str">
        <f>_xlfn.XLOOKUP(A:A,[3]Matriz!$E:$E,[3]Matriz!$J:$J)</f>
        <v>glidde.cortes@global.komatsu</v>
      </c>
    </row>
    <row r="120" spans="1:6" x14ac:dyDescent="0.35">
      <c r="A120" s="5" t="s">
        <v>265</v>
      </c>
      <c r="B120" s="1" t="s">
        <v>14</v>
      </c>
      <c r="C120" s="1" t="s">
        <v>615</v>
      </c>
      <c r="D120" s="1" t="s">
        <v>669</v>
      </c>
      <c r="E120" s="1" t="str">
        <f>_xlfn.XLOOKUP(A:A,[3]Matriz!$E:$E,[3]Matriz!$GT:$GT)</f>
        <v>B</v>
      </c>
      <c r="F120" s="1" t="str">
        <f>_xlfn.XLOOKUP(A:A,[3]Matriz!$E:$E,[3]Matriz!$J:$J)</f>
        <v>Guillermo.echeverria@global.komatsu</v>
      </c>
    </row>
    <row r="121" spans="1:6" x14ac:dyDescent="0.35">
      <c r="A121" s="1" t="s">
        <v>511</v>
      </c>
      <c r="B121" s="1" t="s">
        <v>43</v>
      </c>
      <c r="C121" s="1" t="s">
        <v>615</v>
      </c>
      <c r="D121" s="1" t="s">
        <v>681</v>
      </c>
      <c r="E121" s="1" t="str">
        <f>_xlfn.XLOOKUP(A:A,[3]Matriz!$E:$E,[3]Matriz!$GT:$GT)</f>
        <v>B - D - A4</v>
      </c>
      <c r="F121" s="1" t="str">
        <f>_xlfn.XLOOKUP(A:A,[3]Matriz!$E:$E,[3]Matriz!$J:$J)</f>
        <v>guillermo.guerrero.c@global.komatsu</v>
      </c>
    </row>
    <row r="122" spans="1:6" x14ac:dyDescent="0.35">
      <c r="A122" s="1" t="s">
        <v>322</v>
      </c>
      <c r="B122" s="1" t="s">
        <v>100</v>
      </c>
      <c r="C122" s="1" t="s">
        <v>615</v>
      </c>
      <c r="D122" s="1" t="s">
        <v>634</v>
      </c>
      <c r="E122" s="1" t="str">
        <f>_xlfn.XLOOKUP(A:A,[3]Matriz!$E:$E,[3]Matriz!$GT:$GT)</f>
        <v/>
      </c>
      <c r="F122" s="1" t="str">
        <f>_xlfn.XLOOKUP(A:A,[3]Matriz!$E:$E,[3]Matriz!$J:$J)</f>
        <v>guillermo.henriquez@global.komatsu</v>
      </c>
    </row>
    <row r="123" spans="1:6" x14ac:dyDescent="0.35">
      <c r="A123" s="1" t="s">
        <v>438</v>
      </c>
      <c r="B123" s="1" t="s">
        <v>170</v>
      </c>
      <c r="C123" s="1" t="s">
        <v>615</v>
      </c>
      <c r="D123" s="1" t="s">
        <v>623</v>
      </c>
      <c r="E123" s="1" t="str">
        <f>_xlfn.XLOOKUP(A:A,[3]Matriz!$E:$E,[3]Matriz!$GT:$GT)</f>
        <v>B</v>
      </c>
      <c r="F123" s="1" t="str">
        <f>_xlfn.XLOOKUP(A:A,[3]Matriz!$E:$E,[3]Matriz!$J:$J)</f>
        <v>gustavo.acevedo.b@global.komatsu</v>
      </c>
    </row>
    <row r="124" spans="1:6" x14ac:dyDescent="0.35">
      <c r="A124" s="1" t="s">
        <v>567</v>
      </c>
      <c r="B124" s="1" t="s">
        <v>568</v>
      </c>
      <c r="C124" s="1" t="s">
        <v>615</v>
      </c>
      <c r="D124" s="1" t="s">
        <v>618</v>
      </c>
      <c r="E124" s="1" t="str">
        <f>_xlfn.XLOOKUP(A:A,[3]Matriz!$E:$E,[3]Matriz!$GT:$GT)</f>
        <v>B</v>
      </c>
      <c r="F124" s="1" t="str">
        <f>_xlfn.XLOOKUP(A:A,[3]Matriz!$E:$E,[3]Matriz!$J:$J)</f>
        <v>gustavo.cespedes.z@global.komatsu</v>
      </c>
    </row>
    <row r="125" spans="1:6" x14ac:dyDescent="0.35">
      <c r="A125" s="1" t="s">
        <v>372</v>
      </c>
      <c r="B125" s="1" t="s">
        <v>373</v>
      </c>
      <c r="C125" s="1" t="s">
        <v>615</v>
      </c>
      <c r="D125" s="1" t="s">
        <v>634</v>
      </c>
      <c r="E125" s="1" t="str">
        <f>_xlfn.XLOOKUP(A:A,[3]Matriz!$E:$E,[3]Matriz!$GT:$GT)</f>
        <v>B - D - A4</v>
      </c>
      <c r="F125" s="1" t="str">
        <f>_xlfn.XLOOKUP(A:A,[3]Matriz!$E:$E,[3]Matriz!$J:$J)</f>
        <v>harry.mamani@global.komatsu</v>
      </c>
    </row>
    <row r="126" spans="1:6" x14ac:dyDescent="0.35">
      <c r="A126" s="1" t="s">
        <v>281</v>
      </c>
      <c r="B126" s="1" t="s">
        <v>240</v>
      </c>
      <c r="C126" s="1" t="s">
        <v>615</v>
      </c>
      <c r="D126" s="1" t="s">
        <v>651</v>
      </c>
      <c r="E126" s="1" t="str">
        <f>_xlfn.XLOOKUP(A:A,[3]Matriz!$E:$E,[3]Matriz!$GT:$GT)</f>
        <v>B - D</v>
      </c>
      <c r="F126" s="1" t="str">
        <f>_xlfn.XLOOKUP(A:A,[3]Matriz!$E:$E,[3]Matriz!$J:$J)</f>
        <v>hector.espinoza.m@global.komatsu</v>
      </c>
    </row>
    <row r="127" spans="1:6" x14ac:dyDescent="0.35">
      <c r="A127" s="1" t="s">
        <v>427</v>
      </c>
      <c r="B127" s="1" t="s">
        <v>213</v>
      </c>
      <c r="C127" s="1" t="s">
        <v>615</v>
      </c>
      <c r="D127" s="1" t="s">
        <v>651</v>
      </c>
      <c r="E127" s="1" t="str">
        <f>_xlfn.XLOOKUP(A:A,[3]Matriz!$E:$E,[3]Matriz!$GT:$GT)</f>
        <v>B - D</v>
      </c>
      <c r="F127" s="1" t="str">
        <f>_xlfn.XLOOKUP(A:A,[3]Matriz!$E:$E,[3]Matriz!$J:$J)</f>
        <v>hector.orellana@global.komatsu</v>
      </c>
    </row>
    <row r="128" spans="1:6" x14ac:dyDescent="0.35">
      <c r="A128" s="1" t="s">
        <v>339</v>
      </c>
      <c r="B128" s="1" t="s">
        <v>578</v>
      </c>
      <c r="C128" s="1" t="s">
        <v>615</v>
      </c>
      <c r="D128" s="1" t="s">
        <v>633</v>
      </c>
      <c r="E128" s="1" t="str">
        <f>_xlfn.XLOOKUP(A:A,[3]Matriz!$E:$E,[3]Matriz!$GT:$GT)</f>
        <v>B - D</v>
      </c>
      <c r="F128" s="1" t="str">
        <f>_xlfn.XLOOKUP(A:A,[3]Matriz!$E:$E,[3]Matriz!$J:$J)</f>
        <v>hector.toledo.m@global.komatsu</v>
      </c>
    </row>
    <row r="129" spans="1:6" x14ac:dyDescent="0.35">
      <c r="A129" s="1" t="s">
        <v>519</v>
      </c>
      <c r="B129" s="1" t="s">
        <v>101</v>
      </c>
      <c r="C129" s="1" t="s">
        <v>615</v>
      </c>
      <c r="D129" s="1" t="s">
        <v>647</v>
      </c>
      <c r="E129" s="1" t="str">
        <f>_xlfn.XLOOKUP(A:A,[3]Matriz!$E:$E,[3]Matriz!$GT:$GT)</f>
        <v>B - D - A4</v>
      </c>
      <c r="F129" s="1" t="str">
        <f>_xlfn.XLOOKUP(A:A,[3]Matriz!$E:$E,[3]Matriz!$J:$J)</f>
        <v>heriberto.rojas@global.komatsu</v>
      </c>
    </row>
    <row r="130" spans="1:6" x14ac:dyDescent="0.35">
      <c r="A130" s="1" t="s">
        <v>363</v>
      </c>
      <c r="B130" s="1" t="s">
        <v>44</v>
      </c>
      <c r="C130" s="1" t="s">
        <v>615</v>
      </c>
      <c r="D130" s="1" t="s">
        <v>665</v>
      </c>
      <c r="E130" s="1" t="str">
        <f>_xlfn.XLOOKUP(A:A,[3]Matriz!$E:$E,[3]Matriz!$GT:$GT)</f>
        <v>B</v>
      </c>
      <c r="F130" s="1" t="str">
        <f>_xlfn.XLOOKUP(A:A,[3]Matriz!$E:$E,[3]Matriz!$J:$J)</f>
        <v>hugo.espinosa@global.komatsu</v>
      </c>
    </row>
    <row r="131" spans="1:6" x14ac:dyDescent="0.35">
      <c r="A131" s="2" t="s">
        <v>450</v>
      </c>
      <c r="B131" s="1" t="s">
        <v>45</v>
      </c>
      <c r="C131" s="1" t="s">
        <v>615</v>
      </c>
      <c r="D131" s="1" t="s">
        <v>623</v>
      </c>
      <c r="E131" s="1" t="str">
        <f>_xlfn.XLOOKUP(A:A,[3]Matriz!$E:$E,[3]Matriz!$GT:$GT)</f>
        <v>B</v>
      </c>
      <c r="F131" s="1" t="str">
        <f>_xlfn.XLOOKUP(A:A,[3]Matriz!$E:$E,[3]Matriz!$J:$J)</f>
        <v>ignacio.llanos@global.komatsu</v>
      </c>
    </row>
    <row r="132" spans="1:6" x14ac:dyDescent="0.35">
      <c r="A132" s="1" t="s">
        <v>323</v>
      </c>
      <c r="B132" s="1" t="s">
        <v>102</v>
      </c>
      <c r="C132" s="1" t="s">
        <v>615</v>
      </c>
      <c r="D132" s="1" t="s">
        <v>623</v>
      </c>
      <c r="E132" s="1" t="str">
        <f>_xlfn.XLOOKUP(A:A,[3]Matriz!$E:$E,[3]Matriz!$GT:$GT)</f>
        <v/>
      </c>
      <c r="F132" s="1" t="str">
        <f>_xlfn.XLOOKUP(A:A,[3]Matriz!$E:$E,[3]Matriz!$J:$J)</f>
        <v>isaias.contreras@global.komatsu</v>
      </c>
    </row>
    <row r="133" spans="1:6" x14ac:dyDescent="0.35">
      <c r="A133" s="1" t="s">
        <v>424</v>
      </c>
      <c r="B133" s="1" t="s">
        <v>103</v>
      </c>
      <c r="C133" s="1" t="s">
        <v>615</v>
      </c>
      <c r="D133" s="1" t="s">
        <v>623</v>
      </c>
      <c r="E133" s="1" t="str">
        <f>_xlfn.XLOOKUP(A:A,[3]Matriz!$E:$E,[3]Matriz!$GT:$GT)</f>
        <v/>
      </c>
      <c r="F133" s="1" t="str">
        <f>_xlfn.XLOOKUP(A:A,[3]Matriz!$E:$E,[3]Matriz!$J:$J)</f>
        <v>ivan.urrelo@global.komatsu</v>
      </c>
    </row>
    <row r="134" spans="1:6" x14ac:dyDescent="0.35">
      <c r="A134" s="1" t="s">
        <v>423</v>
      </c>
      <c r="B134" s="1" t="s">
        <v>171</v>
      </c>
      <c r="C134" s="1" t="s">
        <v>615</v>
      </c>
      <c r="D134" s="1" t="s">
        <v>678</v>
      </c>
      <c r="E134" s="1" t="str">
        <f>_xlfn.XLOOKUP(A:A,[3]Matriz!$E:$E,[3]Matriz!$GT:$GT)</f>
        <v>B</v>
      </c>
      <c r="F134" s="1" t="str">
        <f>_xlfn.XLOOKUP(A:A,[3]Matriz!$E:$E,[3]Matriz!$J:$J)</f>
        <v>ivan.villegas@global.komatsu</v>
      </c>
    </row>
    <row r="135" spans="1:6" x14ac:dyDescent="0.35">
      <c r="A135" s="1" t="s">
        <v>494</v>
      </c>
      <c r="B135" s="1" t="s">
        <v>46</v>
      </c>
      <c r="C135" s="1" t="s">
        <v>615</v>
      </c>
      <c r="D135" s="1" t="s">
        <v>634</v>
      </c>
      <c r="E135" s="1" t="str">
        <f>_xlfn.XLOOKUP(A:A,[3]Matriz!$E:$E,[3]Matriz!$GT:$GT)</f>
        <v>B - D</v>
      </c>
      <c r="F135" s="1" t="str">
        <f>_xlfn.XLOOKUP(A:A,[3]Matriz!$E:$E,[3]Matriz!$J:$J)</f>
        <v>ivo.patty@global.komatsu</v>
      </c>
    </row>
    <row r="136" spans="1:6" x14ac:dyDescent="0.35">
      <c r="A136" s="1" t="s">
        <v>267</v>
      </c>
      <c r="B136" s="1" t="s">
        <v>15</v>
      </c>
      <c r="C136" s="1" t="s">
        <v>615</v>
      </c>
      <c r="D136" s="1" t="s">
        <v>619</v>
      </c>
      <c r="E136" s="1" t="str">
        <f>_xlfn.XLOOKUP(A:A,[3]Matriz!$E:$E,[3]Matriz!$GT:$GT)</f>
        <v>B</v>
      </c>
      <c r="F136" s="1" t="str">
        <f>_xlfn.XLOOKUP(A:A,[3]Matriz!$E:$E,[3]Matriz!$J:$J)</f>
        <v>jaime.alcayaga@global.komatsu</v>
      </c>
    </row>
    <row r="137" spans="1:6" x14ac:dyDescent="0.35">
      <c r="A137" s="1" t="s">
        <v>355</v>
      </c>
      <c r="B137" s="1" t="s">
        <v>47</v>
      </c>
      <c r="C137" s="1" t="s">
        <v>615</v>
      </c>
      <c r="D137" s="1" t="s">
        <v>629</v>
      </c>
      <c r="E137" s="1" t="str">
        <f>_xlfn.XLOOKUP(A:A,[3]Matriz!$E:$E,[3]Matriz!$GT:$GT)</f>
        <v>B - D</v>
      </c>
      <c r="F137" s="1" t="str">
        <f>_xlfn.XLOOKUP(A:A,[3]Matriz!$E:$E,[3]Matriz!$J:$J)</f>
        <v>jaime.basilio@global.komatsu</v>
      </c>
    </row>
    <row r="138" spans="1:6" x14ac:dyDescent="0.35">
      <c r="A138" s="1" t="s">
        <v>266</v>
      </c>
      <c r="B138" s="1" t="s">
        <v>48</v>
      </c>
      <c r="C138" s="1" t="s">
        <v>615</v>
      </c>
      <c r="D138" s="1" t="s">
        <v>674</v>
      </c>
      <c r="E138" s="1" t="str">
        <f>_xlfn.XLOOKUP(A:A,[3]Matriz!$E:$E,[3]Matriz!$GT:$GT)</f>
        <v>B - D - A4</v>
      </c>
      <c r="F138" s="1" t="str">
        <f>_xlfn.XLOOKUP(A:A,[3]Matriz!$E:$E,[3]Matriz!$J:$J)</f>
        <v>jaime.carrizo@global.komatsu</v>
      </c>
    </row>
    <row r="139" spans="1:6" x14ac:dyDescent="0.35">
      <c r="A139" s="1" t="s">
        <v>550</v>
      </c>
      <c r="B139" s="1" t="s">
        <v>551</v>
      </c>
      <c r="C139" s="1" t="s">
        <v>615</v>
      </c>
      <c r="D139" s="1" t="s">
        <v>620</v>
      </c>
      <c r="E139" s="1" t="str">
        <f>_xlfn.XLOOKUP(A:A,[3]Matriz!$E:$E,[3]Matriz!$GT:$GT)</f>
        <v/>
      </c>
      <c r="F139" s="1" t="str">
        <f>_xlfn.XLOOKUP(A:A,[3]Matriz!$E:$E,[3]Matriz!$J:$J)</f>
        <v>jaison.vejar.h@global.komatsu</v>
      </c>
    </row>
    <row r="140" spans="1:6" x14ac:dyDescent="0.35">
      <c r="A140" s="1" t="s">
        <v>466</v>
      </c>
      <c r="B140" s="1" t="s">
        <v>214</v>
      </c>
      <c r="C140" s="1" t="s">
        <v>615</v>
      </c>
      <c r="D140" s="1" t="s">
        <v>623</v>
      </c>
      <c r="E140" s="1" t="str">
        <f>_xlfn.XLOOKUP(A:A,[3]Matriz!$E:$E,[3]Matriz!$GT:$GT)</f>
        <v/>
      </c>
      <c r="F140" s="1" t="str">
        <f>_xlfn.XLOOKUP(A:A,[3]Matriz!$E:$E,[3]Matriz!$J:$J)</f>
        <v xml:space="preserve"> javier.nunez@global.komatsu</v>
      </c>
    </row>
    <row r="141" spans="1:6" x14ac:dyDescent="0.35">
      <c r="A141" s="1" t="s">
        <v>305</v>
      </c>
      <c r="B141" s="1" t="s">
        <v>215</v>
      </c>
      <c r="C141" s="1" t="s">
        <v>615</v>
      </c>
      <c r="D141" s="1" t="s">
        <v>632</v>
      </c>
      <c r="E141" s="1" t="str">
        <f>_xlfn.XLOOKUP(A:A,[3]Matriz!$E:$E,[3]Matriz!$GT:$GT)</f>
        <v/>
      </c>
      <c r="F141" s="1" t="str">
        <f>_xlfn.XLOOKUP(A:A,[3]Matriz!$E:$E,[3]Matriz!$J:$J)</f>
        <v>jaison.bruce@global.komatsu</v>
      </c>
    </row>
    <row r="142" spans="1:6" x14ac:dyDescent="0.35">
      <c r="A142" s="1" t="s">
        <v>288</v>
      </c>
      <c r="B142" s="1" t="s">
        <v>49</v>
      </c>
      <c r="C142" s="1" t="s">
        <v>615</v>
      </c>
      <c r="D142" s="1" t="s">
        <v>632</v>
      </c>
      <c r="E142" s="1" t="str">
        <f>_xlfn.XLOOKUP(A:A,[3]Matriz!$E:$E,[3]Matriz!$GT:$GT)</f>
        <v>B</v>
      </c>
      <c r="F142" s="1" t="str">
        <f>_xlfn.XLOOKUP(A:A,[3]Matriz!$E:$E,[3]Matriz!$J:$J)</f>
        <v>jerson.robledo@global.komatsu</v>
      </c>
    </row>
    <row r="143" spans="1:6" x14ac:dyDescent="0.35">
      <c r="A143" s="1" t="s">
        <v>285</v>
      </c>
      <c r="B143" s="1" t="s">
        <v>50</v>
      </c>
      <c r="C143" s="1" t="s">
        <v>615</v>
      </c>
      <c r="D143" s="1" t="s">
        <v>651</v>
      </c>
      <c r="E143" s="1" t="str">
        <f>_xlfn.XLOOKUP(A:A,[3]Matriz!$E:$E,[3]Matriz!$GT:$GT)</f>
        <v>B - D</v>
      </c>
      <c r="F143" s="1" t="str">
        <f>_xlfn.XLOOKUP(A:A,[3]Matriz!$E:$E,[3]Matriz!$J:$J)</f>
        <v>jhan.silva@global.komatsu</v>
      </c>
    </row>
    <row r="144" spans="1:6" x14ac:dyDescent="0.35">
      <c r="A144" s="1" t="s">
        <v>394</v>
      </c>
      <c r="B144" s="4" t="s">
        <v>172</v>
      </c>
      <c r="C144" s="1" t="s">
        <v>615</v>
      </c>
      <c r="D144" s="1" t="s">
        <v>623</v>
      </c>
      <c r="E144" s="1" t="str">
        <f>_xlfn.XLOOKUP(A:A,[3]Matriz!$E:$E,[3]Matriz!$GT:$GT)</f>
        <v>B</v>
      </c>
      <c r="F144" s="1" t="str">
        <f>_xlfn.XLOOKUP(A:A,[3]Matriz!$E:$E,[3]Matriz!$J:$J)</f>
        <v>jimmy.vasquez@global.komatsu</v>
      </c>
    </row>
    <row r="145" spans="1:6" x14ac:dyDescent="0.35">
      <c r="A145" s="1" t="s">
        <v>437</v>
      </c>
      <c r="B145" s="1" t="s">
        <v>216</v>
      </c>
      <c r="C145" s="1" t="s">
        <v>615</v>
      </c>
      <c r="D145" s="1" t="s">
        <v>634</v>
      </c>
      <c r="E145" s="1" t="str">
        <f>_xlfn.XLOOKUP(A:A,[3]Matriz!$E:$E,[3]Matriz!$GT:$GT)</f>
        <v>B - D</v>
      </c>
      <c r="F145" s="1" t="str">
        <f>_xlfn.XLOOKUP(A:A,[3]Matriz!$E:$E,[3]Matriz!$J:$J)</f>
        <v>jobany.valenzuela@global.komatsu</v>
      </c>
    </row>
    <row r="146" spans="1:6" x14ac:dyDescent="0.35">
      <c r="A146" s="1" t="s">
        <v>562</v>
      </c>
      <c r="B146" s="1" t="s">
        <v>563</v>
      </c>
      <c r="C146" s="1" t="s">
        <v>615</v>
      </c>
      <c r="D146" s="1" t="s">
        <v>623</v>
      </c>
      <c r="E146" s="1" t="str">
        <f>_xlfn.XLOOKUP(A:A,[3]Matriz!$E:$E,[3]Matriz!$GT:$GT)</f>
        <v/>
      </c>
      <c r="F146" s="1" t="str">
        <f>_xlfn.XLOOKUP(A:A,[3]Matriz!$E:$E,[3]Matriz!$J:$J)</f>
        <v>johan.cortes.b@global.komatsu</v>
      </c>
    </row>
    <row r="147" spans="1:6" x14ac:dyDescent="0.35">
      <c r="A147" s="1" t="s">
        <v>535</v>
      </c>
      <c r="B147" s="1" t="s">
        <v>173</v>
      </c>
      <c r="C147" s="1" t="s">
        <v>615</v>
      </c>
      <c r="D147" s="1" t="s">
        <v>628</v>
      </c>
      <c r="E147" s="1" t="str">
        <f>_xlfn.XLOOKUP(A:A,[3]Matriz!$E:$E,[3]Matriz!$GT:$GT)</f>
        <v>B - D - A4</v>
      </c>
      <c r="F147" s="1" t="str">
        <f>_xlfn.XLOOKUP(A:A,[3]Matriz!$E:$E,[3]Matriz!$J:$J)</f>
        <v>Jonathan.lopez@global.komatsu</v>
      </c>
    </row>
    <row r="148" spans="1:6" x14ac:dyDescent="0.35">
      <c r="A148" s="1" t="s">
        <v>530</v>
      </c>
      <c r="B148" s="1" t="s">
        <v>51</v>
      </c>
      <c r="C148" s="1" t="s">
        <v>615</v>
      </c>
      <c r="D148" s="1" t="s">
        <v>628</v>
      </c>
      <c r="E148" s="1" t="str">
        <f>_xlfn.XLOOKUP(A:A,[3]Matriz!$E:$E,[3]Matriz!$GT:$GT)</f>
        <v>B - D - A4</v>
      </c>
      <c r="F148" s="1" t="str">
        <f>_xlfn.XLOOKUP(A:A,[3]Matriz!$E:$E,[3]Matriz!$J:$J)</f>
        <v>jonathan.trullen@global.komatsu</v>
      </c>
    </row>
    <row r="149" spans="1:6" x14ac:dyDescent="0.35">
      <c r="A149" s="1" t="s">
        <v>312</v>
      </c>
      <c r="B149" s="1" t="s">
        <v>52</v>
      </c>
      <c r="C149" s="1" t="s">
        <v>615</v>
      </c>
      <c r="D149" s="1" t="s">
        <v>623</v>
      </c>
      <c r="E149" s="1" t="str">
        <f>_xlfn.XLOOKUP(A:A,[3]Matriz!$E:$E,[3]Matriz!$GT:$GT)</f>
        <v>B - D - A4</v>
      </c>
      <c r="F149" s="1" t="str">
        <f>_xlfn.XLOOKUP(A:A,[3]Matriz!$E:$E,[3]Matriz!$J:$J)</f>
        <v>jonnattan.torres@global.komatsu</v>
      </c>
    </row>
    <row r="150" spans="1:6" x14ac:dyDescent="0.35">
      <c r="A150" s="1" t="s">
        <v>580</v>
      </c>
      <c r="B150" s="1" t="s">
        <v>581</v>
      </c>
      <c r="C150" s="1" t="s">
        <v>615</v>
      </c>
      <c r="D150" s="1" t="s">
        <v>681</v>
      </c>
      <c r="E150" s="1" t="str">
        <f>_xlfn.XLOOKUP(A:A,[3]Matriz!$E:$E,[3]Matriz!$GT:$GT)</f>
        <v>B - D - A4</v>
      </c>
      <c r="F150" s="1" t="str">
        <f>_xlfn.XLOOKUP(A:A,[3]Matriz!$E:$E,[3]Matriz!$J:$J)</f>
        <v>jordan.ledezma.v@global.komatsu</v>
      </c>
    </row>
    <row r="151" spans="1:6" x14ac:dyDescent="0.35">
      <c r="A151" s="2" t="s">
        <v>477</v>
      </c>
      <c r="B151" s="1" t="s">
        <v>217</v>
      </c>
      <c r="C151" s="1" t="s">
        <v>615</v>
      </c>
      <c r="D151" s="1" t="s">
        <v>632</v>
      </c>
      <c r="E151" s="1" t="str">
        <f>_xlfn.XLOOKUP(A:A,[3]Matriz!$E:$E,[3]Matriz!$GT:$GT)</f>
        <v/>
      </c>
      <c r="F151" s="1" t="str">
        <f>_xlfn.XLOOKUP(A:A,[3]Matriz!$E:$E,[3]Matriz!$J:$J)</f>
        <v>jorge.larrondo@global.komatsu</v>
      </c>
    </row>
    <row r="152" spans="1:6" x14ac:dyDescent="0.35">
      <c r="A152" s="1" t="s">
        <v>357</v>
      </c>
      <c r="B152" s="1" t="s">
        <v>104</v>
      </c>
      <c r="C152" s="1" t="s">
        <v>615</v>
      </c>
      <c r="D152" s="1" t="s">
        <v>632</v>
      </c>
      <c r="E152" s="1" t="str">
        <f>_xlfn.XLOOKUP(A:A,[3]Matriz!$E:$E,[3]Matriz!$GT:$GT)</f>
        <v>B - A4</v>
      </c>
      <c r="F152" s="1" t="str">
        <f>_xlfn.XLOOKUP(A:A,[3]Matriz!$E:$E,[3]Matriz!$J:$J)</f>
        <v>jorge.olivares.v@global.komatsu</v>
      </c>
    </row>
    <row r="153" spans="1:6" x14ac:dyDescent="0.35">
      <c r="A153" s="1" t="s">
        <v>282</v>
      </c>
      <c r="B153" s="1" t="s">
        <v>283</v>
      </c>
      <c r="C153" s="1" t="s">
        <v>615</v>
      </c>
      <c r="D153" s="1" t="s">
        <v>658</v>
      </c>
      <c r="E153" s="1" t="str">
        <f>_xlfn.XLOOKUP(A:A,[3]Matriz!$E:$E,[3]Matriz!$GT:$GT)</f>
        <v/>
      </c>
      <c r="F153" s="1" t="str">
        <f>_xlfn.XLOOKUP(A:A,[3]Matriz!$E:$E,[3]Matriz!$J:$J)</f>
        <v>jose.diaz@global.komatsu</v>
      </c>
    </row>
    <row r="154" spans="1:6" x14ac:dyDescent="0.35">
      <c r="A154" s="1" t="s">
        <v>603</v>
      </c>
      <c r="B154" s="1" t="s">
        <v>604</v>
      </c>
      <c r="C154" s="1" t="s">
        <v>615</v>
      </c>
      <c r="D154" s="1" t="s">
        <v>619</v>
      </c>
      <c r="E154" s="1" t="str">
        <f>_xlfn.XLOOKUP(A:A,[3]Matriz!$E:$E,[3]Matriz!$GT:$GT)</f>
        <v/>
      </c>
      <c r="F154" s="1" t="str">
        <f>_xlfn.XLOOKUP(A:A,[3]Matriz!$E:$E,[3]Matriz!$J:$J)</f>
        <v>jose.flores.m@global.komatsu</v>
      </c>
    </row>
    <row r="155" spans="1:6" x14ac:dyDescent="0.35">
      <c r="A155" s="1" t="s">
        <v>589</v>
      </c>
      <c r="B155" s="1" t="s">
        <v>585</v>
      </c>
      <c r="C155" s="1" t="s">
        <v>615</v>
      </c>
      <c r="D155" s="1" t="s">
        <v>652</v>
      </c>
      <c r="E155" s="1" t="str">
        <f>_xlfn.XLOOKUP(A:A,[3]Matriz!$E:$E,[3]Matriz!$GT:$GT)</f>
        <v>B</v>
      </c>
      <c r="F155" s="1" t="str">
        <f>_xlfn.XLOOKUP(A:A,[3]Matriz!$E:$E,[3]Matriz!$J:$J)</f>
        <v>jose.gutierrez.c@global.komatsu</v>
      </c>
    </row>
    <row r="156" spans="1:6" x14ac:dyDescent="0.35">
      <c r="A156" s="1" t="s">
        <v>289</v>
      </c>
      <c r="B156" s="1" t="s">
        <v>105</v>
      </c>
      <c r="C156" s="1" t="s">
        <v>615</v>
      </c>
      <c r="D156" s="1" t="s">
        <v>653</v>
      </c>
      <c r="E156" s="1" t="str">
        <f>_xlfn.XLOOKUP(A:A,[3]Matriz!$E:$E,[3]Matriz!$GT:$GT)</f>
        <v>B</v>
      </c>
      <c r="F156" s="1" t="str">
        <f>_xlfn.XLOOKUP(A:A,[3]Matriz!$E:$E,[3]Matriz!$J:$J)</f>
        <v>jose.hidalgo@global.komatsu</v>
      </c>
    </row>
    <row r="157" spans="1:6" x14ac:dyDescent="0.35">
      <c r="A157" s="1" t="s">
        <v>512</v>
      </c>
      <c r="B157" s="1" t="s">
        <v>513</v>
      </c>
      <c r="C157" s="1" t="s">
        <v>615</v>
      </c>
      <c r="D157" s="1" t="s">
        <v>621</v>
      </c>
      <c r="E157" s="1" t="str">
        <f>_xlfn.XLOOKUP(A:A,[3]Matriz!$E:$E,[3]Matriz!$GT:$GT)</f>
        <v>B - D - A2-A4</v>
      </c>
      <c r="F157" s="1" t="str">
        <f>_xlfn.XLOOKUP(A:A,[3]Matriz!$E:$E,[3]Matriz!$J:$J)</f>
        <v>jose.nunez.r@global.komatsu</v>
      </c>
    </row>
    <row r="158" spans="1:6" x14ac:dyDescent="0.35">
      <c r="A158" s="1" t="s">
        <v>421</v>
      </c>
      <c r="B158" s="1" t="s">
        <v>174</v>
      </c>
      <c r="C158" s="1" t="s">
        <v>615</v>
      </c>
      <c r="D158" s="1" t="s">
        <v>680</v>
      </c>
      <c r="E158" s="1" t="str">
        <f>_xlfn.XLOOKUP(A:A,[3]Matriz!$E:$E,[3]Matriz!$GT:$GT)</f>
        <v>B - D - A4</v>
      </c>
      <c r="F158" s="1" t="str">
        <f>_xlfn.XLOOKUP(A:A,[3]Matriz!$E:$E,[3]Matriz!$J:$J)</f>
        <v>jose.osinaga@global.komatsu</v>
      </c>
    </row>
    <row r="159" spans="1:6" x14ac:dyDescent="0.35">
      <c r="A159" s="1" t="s">
        <v>314</v>
      </c>
      <c r="B159" s="1" t="s">
        <v>53</v>
      </c>
      <c r="C159" s="1" t="s">
        <v>615</v>
      </c>
      <c r="D159" s="1" t="s">
        <v>623</v>
      </c>
      <c r="E159" s="1" t="str">
        <f>_xlfn.XLOOKUP(A:A,[3]Matriz!$E:$E,[3]Matriz!$GT:$GT)</f>
        <v>B - D</v>
      </c>
      <c r="F159" s="1" t="str">
        <f>_xlfn.XLOOKUP(A:A,[3]Matriz!$E:$E,[3]Matriz!$J:$J)</f>
        <v>jose.osorio@global.komatsu</v>
      </c>
    </row>
    <row r="160" spans="1:6" x14ac:dyDescent="0.35">
      <c r="A160" s="1" t="s">
        <v>523</v>
      </c>
      <c r="B160" s="1" t="s">
        <v>54</v>
      </c>
      <c r="C160" s="1" t="s">
        <v>615</v>
      </c>
      <c r="D160" s="1" t="s">
        <v>628</v>
      </c>
      <c r="E160" s="1" t="str">
        <f>_xlfn.XLOOKUP(A:A,[3]Matriz!$E:$E,[3]Matriz!$GT:$GT)</f>
        <v>B - D - A4</v>
      </c>
      <c r="F160" s="1" t="str">
        <f>_xlfn.XLOOKUP(A:A,[3]Matriz!$E:$E,[3]Matriz!$J:$J)</f>
        <v>jose.panire@global.komatsu</v>
      </c>
    </row>
    <row r="161" spans="1:6" x14ac:dyDescent="0.35">
      <c r="A161" s="1" t="s">
        <v>336</v>
      </c>
      <c r="B161" s="1" t="s">
        <v>175</v>
      </c>
      <c r="C161" s="1" t="s">
        <v>615</v>
      </c>
      <c r="D161" s="1" t="s">
        <v>665</v>
      </c>
      <c r="E161" s="1" t="str">
        <f>_xlfn.XLOOKUP(A:A,[3]Matriz!$E:$E,[3]Matriz!$GT:$GT)</f>
        <v>B</v>
      </c>
      <c r="F161" s="1" t="str">
        <f>_xlfn.XLOOKUP(A:A,[3]Matriz!$E:$E,[3]Matriz!$J:$J)</f>
        <v>jose.quiroz@global.komatsu</v>
      </c>
    </row>
    <row r="162" spans="1:6" x14ac:dyDescent="0.35">
      <c r="A162" s="1" t="s">
        <v>251</v>
      </c>
      <c r="B162" s="1" t="s">
        <v>3</v>
      </c>
      <c r="C162" s="1" t="s">
        <v>615</v>
      </c>
      <c r="D162" s="1" t="s">
        <v>666</v>
      </c>
      <c r="E162" s="1" t="str">
        <f>_xlfn.XLOOKUP(A:A,[3]Matriz!$E:$E,[3]Matriz!$GT:$GT)</f>
        <v/>
      </c>
      <c r="F162" s="1" t="str">
        <f>_xlfn.XLOOKUP(A:A,[3]Matriz!$E:$E,[3]Matriz!$J:$J)</f>
        <v>jose.silva@global.komatsu</v>
      </c>
    </row>
    <row r="163" spans="1:6" x14ac:dyDescent="0.35">
      <c r="A163" s="1" t="s">
        <v>298</v>
      </c>
      <c r="B163" s="1" t="s">
        <v>176</v>
      </c>
      <c r="C163" s="1" t="s">
        <v>615</v>
      </c>
      <c r="D163" s="1" t="s">
        <v>653</v>
      </c>
      <c r="E163" s="1" t="str">
        <f>_xlfn.XLOOKUP(A:A,[3]Matriz!$E:$E,[3]Matriz!$GT:$GT)</f>
        <v>B</v>
      </c>
      <c r="F163" s="1" t="str">
        <f>_xlfn.XLOOKUP(A:A,[3]Matriz!$E:$E,[3]Matriz!$J:$J)</f>
        <v>j.vega@global.komatsu</v>
      </c>
    </row>
    <row r="164" spans="1:6" x14ac:dyDescent="0.35">
      <c r="A164" s="1" t="s">
        <v>340</v>
      </c>
      <c r="B164" s="1" t="s">
        <v>218</v>
      </c>
      <c r="C164" s="1" t="s">
        <v>615</v>
      </c>
      <c r="D164" s="1" t="s">
        <v>623</v>
      </c>
      <c r="E164" s="1" t="str">
        <f>_xlfn.XLOOKUP(A:A,[3]Matriz!$E:$E,[3]Matriz!$GT:$GT)</f>
        <v/>
      </c>
      <c r="F164" s="1" t="str">
        <f>_xlfn.XLOOKUP(A:A,[3]Matriz!$E:$E,[3]Matriz!$J:$J)</f>
        <v>josue.gonzalez@global.komatsu</v>
      </c>
    </row>
    <row r="165" spans="1:6" x14ac:dyDescent="0.35">
      <c r="A165" s="1" t="s">
        <v>269</v>
      </c>
      <c r="B165" s="1" t="s">
        <v>106</v>
      </c>
      <c r="C165" s="1" t="s">
        <v>615</v>
      </c>
      <c r="D165" s="1" t="s">
        <v>674</v>
      </c>
      <c r="E165" s="1" t="str">
        <f>_xlfn.XLOOKUP(A:A,[3]Matriz!$E:$E,[3]Matriz!$GT:$GT)</f>
        <v>B</v>
      </c>
      <c r="F165" s="1" t="str">
        <f>_xlfn.XLOOKUP(A:A,[3]Matriz!$E:$E,[3]Matriz!$J:$J)</f>
        <v>j.araya.a@global.komatsu</v>
      </c>
    </row>
    <row r="166" spans="1:6" x14ac:dyDescent="0.35">
      <c r="A166" s="1" t="s">
        <v>558</v>
      </c>
      <c r="B166" s="1" t="s">
        <v>559</v>
      </c>
      <c r="C166" s="1" t="s">
        <v>615</v>
      </c>
      <c r="D166" s="1" t="s">
        <v>623</v>
      </c>
      <c r="E166" s="1" t="str">
        <f>_xlfn.XLOOKUP(A:A,[3]Matriz!$E:$E,[3]Matriz!$GT:$GT)</f>
        <v/>
      </c>
      <c r="F166" s="1" t="str">
        <f>_xlfn.XLOOKUP(A:A,[3]Matriz!$E:$E,[3]Matriz!$J:$J)</f>
        <v>juan.bahamondes.g@global.komatsu</v>
      </c>
    </row>
    <row r="167" spans="1:6" x14ac:dyDescent="0.35">
      <c r="A167" s="1" t="s">
        <v>308</v>
      </c>
      <c r="B167" s="1" t="s">
        <v>55</v>
      </c>
      <c r="C167" s="1" t="s">
        <v>615</v>
      </c>
      <c r="D167" s="1" t="s">
        <v>661</v>
      </c>
      <c r="E167" s="1" t="str">
        <f>_xlfn.XLOOKUP(A:A,[3]Matriz!$E:$E,[3]Matriz!$GT:$GT)</f>
        <v/>
      </c>
      <c r="F167" s="1" t="str">
        <f>_xlfn.XLOOKUP(A:A,[3]Matriz!$E:$E,[3]Matriz!$J:$J)</f>
        <v>juan.caquisane@global.komatsu</v>
      </c>
    </row>
    <row r="168" spans="1:6" x14ac:dyDescent="0.35">
      <c r="A168" s="2" t="s">
        <v>252</v>
      </c>
      <c r="B168" s="1" t="s">
        <v>253</v>
      </c>
      <c r="C168" s="1" t="s">
        <v>615</v>
      </c>
      <c r="D168" s="1" t="s">
        <v>667</v>
      </c>
      <c r="E168" s="1" t="str">
        <f>_xlfn.XLOOKUP(A:A,[3]Matriz!$E:$E,[3]Matriz!$GT:$GT)</f>
        <v/>
      </c>
      <c r="F168" s="1" t="str">
        <f>_xlfn.XLOOKUP(A:A,[3]Matriz!$E:$E,[3]Matriz!$J:$J)</f>
        <v>juan.fuenzalida@global.komatsu</v>
      </c>
    </row>
    <row r="169" spans="1:6" x14ac:dyDescent="0.35">
      <c r="A169" s="1" t="s">
        <v>444</v>
      </c>
      <c r="B169" s="1" t="s">
        <v>219</v>
      </c>
      <c r="C169" s="1" t="s">
        <v>615</v>
      </c>
      <c r="D169" s="1" t="s">
        <v>670</v>
      </c>
      <c r="E169" s="1" t="str">
        <f>_xlfn.XLOOKUP(A:A,[3]Matriz!$E:$E,[3]Matriz!$GT:$GT)</f>
        <v>B</v>
      </c>
      <c r="F169" s="1" t="str">
        <f>_xlfn.XLOOKUP(A:A,[3]Matriz!$E:$E,[3]Matriz!$J:$J)</f>
        <v>j.martinez@global.komatsu</v>
      </c>
    </row>
    <row r="170" spans="1:6" x14ac:dyDescent="0.35">
      <c r="A170" s="1" t="s">
        <v>284</v>
      </c>
      <c r="B170" s="1" t="s">
        <v>220</v>
      </c>
      <c r="C170" s="1" t="s">
        <v>615</v>
      </c>
      <c r="D170" s="1" t="s">
        <v>671</v>
      </c>
      <c r="E170" s="1" t="str">
        <f>_xlfn.XLOOKUP(A:A,[3]Matriz!$E:$E,[3]Matriz!$GT:$GT)</f>
        <v>B</v>
      </c>
      <c r="F170" s="1" t="str">
        <f>_xlfn.XLOOKUP(A:A,[3]Matriz!$E:$E,[3]Matriz!$J:$J)</f>
        <v>juan.mejia@global.komatsu</v>
      </c>
    </row>
    <row r="171" spans="1:6" x14ac:dyDescent="0.35">
      <c r="A171" s="1" t="s">
        <v>536</v>
      </c>
      <c r="B171" s="1" t="s">
        <v>177</v>
      </c>
      <c r="C171" s="1" t="s">
        <v>615</v>
      </c>
      <c r="D171" s="1" t="s">
        <v>634</v>
      </c>
      <c r="E171" s="1" t="str">
        <f>_xlfn.XLOOKUP(A:A,[3]Matriz!$E:$E,[3]Matriz!$GT:$GT)</f>
        <v>B - D</v>
      </c>
      <c r="F171" s="1" t="str">
        <f>_xlfn.XLOOKUP(A:A,[3]Matriz!$E:$E,[3]Matriz!$J:$J)</f>
        <v>juan.palavicino@global.komatsu</v>
      </c>
    </row>
    <row r="172" spans="1:6" x14ac:dyDescent="0.35">
      <c r="A172" s="1" t="s">
        <v>333</v>
      </c>
      <c r="B172" s="1" t="s">
        <v>107</v>
      </c>
      <c r="C172" s="1" t="s">
        <v>615</v>
      </c>
      <c r="D172" s="1" t="s">
        <v>664</v>
      </c>
      <c r="E172" s="1" t="str">
        <f>_xlfn.XLOOKUP(A:A,[3]Matriz!$E:$E,[3]Matriz!$GT:$GT)</f>
        <v>B - D - A4</v>
      </c>
      <c r="F172" s="1" t="str">
        <f>_xlfn.XLOOKUP(A:A,[3]Matriz!$E:$E,[3]Matriz!$J:$J)</f>
        <v>juan.plaza@global.komatsu</v>
      </c>
    </row>
    <row r="173" spans="1:6" x14ac:dyDescent="0.35">
      <c r="A173" s="1" t="s">
        <v>271</v>
      </c>
      <c r="B173" s="1" t="s">
        <v>108</v>
      </c>
      <c r="C173" s="1" t="s">
        <v>615</v>
      </c>
      <c r="D173" s="1" t="s">
        <v>674</v>
      </c>
      <c r="E173" s="1" t="str">
        <f>_xlfn.XLOOKUP(A:A,[3]Matriz!$E:$E,[3]Matriz!$GT:$GT)</f>
        <v>B - D - A4</v>
      </c>
      <c r="F173" s="1" t="str">
        <f>_xlfn.XLOOKUP(A:A,[3]Matriz!$E:$E,[3]Matriz!$J:$J)</f>
        <v>juan.valenzuela.s@global.komatsu</v>
      </c>
    </row>
    <row r="174" spans="1:6" x14ac:dyDescent="0.35">
      <c r="A174" s="1" t="s">
        <v>529</v>
      </c>
      <c r="B174" s="1" t="s">
        <v>221</v>
      </c>
      <c r="C174" s="1" t="s">
        <v>615</v>
      </c>
      <c r="D174" s="1" t="s">
        <v>684</v>
      </c>
      <c r="E174" s="1" t="str">
        <f>_xlfn.XLOOKUP(A:A,[3]Matriz!$E:$E,[3]Matriz!$GT:$GT)</f>
        <v>B - D</v>
      </c>
      <c r="F174" s="1" t="str">
        <f>_xlfn.XLOOKUP(A:A,[3]Matriz!$E:$E,[3]Matriz!$J:$J)</f>
        <v>juan.vallejos@global.komatsu</v>
      </c>
    </row>
    <row r="175" spans="1:6" x14ac:dyDescent="0.35">
      <c r="A175" s="2" t="s">
        <v>462</v>
      </c>
      <c r="B175" s="1" t="s">
        <v>1</v>
      </c>
      <c r="C175" s="1" t="s">
        <v>615</v>
      </c>
      <c r="D175" s="1" t="s">
        <v>629</v>
      </c>
      <c r="E175" s="1" t="str">
        <f>_xlfn.XLOOKUP(A:A,[3]Matriz!$E:$E,[3]Matriz!$GT:$GT)</f>
        <v>B</v>
      </c>
      <c r="F175" s="1" t="str">
        <f>_xlfn.XLOOKUP(A:A,[3]Matriz!$E:$E,[3]Matriz!$J:$J)</f>
        <v>juan.vera.v@global.komatsu</v>
      </c>
    </row>
    <row r="176" spans="1:6" x14ac:dyDescent="0.35">
      <c r="A176" s="1" t="s">
        <v>343</v>
      </c>
      <c r="B176" s="1" t="s">
        <v>178</v>
      </c>
      <c r="C176" s="1" t="s">
        <v>615</v>
      </c>
      <c r="D176" s="1" t="s">
        <v>623</v>
      </c>
      <c r="E176" s="1" t="str">
        <f>_xlfn.XLOOKUP(A:A,[3]Matriz!$E:$E,[3]Matriz!$GT:$GT)</f>
        <v/>
      </c>
      <c r="F176" s="1" t="str">
        <f>_xlfn.XLOOKUP(A:A,[3]Matriz!$E:$E,[3]Matriz!$J:$J)</f>
        <v>juan.vilca@global.komatsu</v>
      </c>
    </row>
    <row r="177" spans="1:6" x14ac:dyDescent="0.35">
      <c r="A177" s="1" t="s">
        <v>254</v>
      </c>
      <c r="B177" s="1" t="s">
        <v>179</v>
      </c>
      <c r="C177" s="1" t="s">
        <v>615</v>
      </c>
      <c r="D177" s="1" t="s">
        <v>623</v>
      </c>
      <c r="E177" s="1" t="str">
        <f>_xlfn.XLOOKUP(A:A,[3]Matriz!$E:$E,[3]Matriz!$GT:$GT)</f>
        <v>B</v>
      </c>
      <c r="F177" s="1" t="str">
        <f>_xlfn.XLOOKUP(A:A,[3]Matriz!$E:$E,[3]Matriz!$J:$J)</f>
        <v>juvenal.cruz@global.komatsu</v>
      </c>
    </row>
    <row r="178" spans="1:6" x14ac:dyDescent="0.35">
      <c r="A178" s="1" t="s">
        <v>359</v>
      </c>
      <c r="B178" s="1" t="s">
        <v>109</v>
      </c>
      <c r="C178" s="1" t="s">
        <v>615</v>
      </c>
      <c r="D178" s="1" t="s">
        <v>630</v>
      </c>
      <c r="E178" s="1" t="str">
        <f>_xlfn.XLOOKUP(A:A,[3]Matriz!$E:$E,[3]Matriz!$GT:$GT)</f>
        <v/>
      </c>
      <c r="F178" s="1" t="str">
        <f>_xlfn.XLOOKUP(A:A,[3]Matriz!$E:$E,[3]Matriz!$J:$J)</f>
        <v>karen.olguin@global.komatsu</v>
      </c>
    </row>
    <row r="179" spans="1:6" x14ac:dyDescent="0.35">
      <c r="A179" s="1" t="s">
        <v>327</v>
      </c>
      <c r="B179" s="1" t="s">
        <v>110</v>
      </c>
      <c r="C179" s="1" t="s">
        <v>615</v>
      </c>
      <c r="D179" s="1" t="s">
        <v>628</v>
      </c>
      <c r="E179" s="1" t="str">
        <f>_xlfn.XLOOKUP(A:A,[3]Matriz!$E:$E,[3]Matriz!$GT:$GT)</f>
        <v>B - D - A4</v>
      </c>
      <c r="F179" s="1" t="str">
        <f>_xlfn.XLOOKUP(A:A,[3]Matriz!$E:$E,[3]Matriz!$J:$J)</f>
        <v>lenin.adones@global.komatsu</v>
      </c>
    </row>
    <row r="180" spans="1:6" x14ac:dyDescent="0.35">
      <c r="A180" s="1" t="s">
        <v>416</v>
      </c>
      <c r="B180" s="1" t="s">
        <v>56</v>
      </c>
      <c r="C180" s="1" t="s">
        <v>615</v>
      </c>
      <c r="D180" s="1" t="s">
        <v>641</v>
      </c>
      <c r="E180" s="1" t="str">
        <f>_xlfn.XLOOKUP(A:A,[3]Matriz!$E:$E,[3]Matriz!$GT:$GT)</f>
        <v>B</v>
      </c>
      <c r="F180" s="1" t="str">
        <f>_xlfn.XLOOKUP(A:A,[3]Matriz!$E:$E,[3]Matriz!$J:$J)</f>
        <v>lucy.cortes@global.komatsu</v>
      </c>
    </row>
    <row r="181" spans="1:6" x14ac:dyDescent="0.35">
      <c r="A181" s="1" t="s">
        <v>452</v>
      </c>
      <c r="B181" s="1" t="s">
        <v>129</v>
      </c>
      <c r="C181" s="1" t="s">
        <v>615</v>
      </c>
      <c r="D181" s="1" t="s">
        <v>626</v>
      </c>
      <c r="E181" s="1" t="str">
        <f>_xlfn.XLOOKUP(A:A,[3]Matriz!$E:$E,[3]Matriz!$GT:$GT)</f>
        <v>B</v>
      </c>
      <c r="F181" s="1" t="str">
        <f>_xlfn.XLOOKUP(A:A,[3]Matriz!$E:$E,[3]Matriz!$J:$J)</f>
        <v>luis.alvarez.p@global.komatsu</v>
      </c>
    </row>
    <row r="182" spans="1:6" x14ac:dyDescent="0.35">
      <c r="A182" s="1" t="s">
        <v>280</v>
      </c>
      <c r="B182" s="1" t="s">
        <v>57</v>
      </c>
      <c r="C182" s="1" t="s">
        <v>615</v>
      </c>
      <c r="D182" s="1" t="s">
        <v>674</v>
      </c>
      <c r="E182" s="1" t="str">
        <f>_xlfn.XLOOKUP(A:A,[3]Matriz!$E:$E,[3]Matriz!$GT:$GT)</f>
        <v>B - D - A4</v>
      </c>
      <c r="F182" s="1" t="str">
        <f>_xlfn.XLOOKUP(A:A,[3]Matriz!$E:$E,[3]Matriz!$J:$J)</f>
        <v>luis.castillo.s@global.komatsu</v>
      </c>
    </row>
    <row r="183" spans="1:6" x14ac:dyDescent="0.35">
      <c r="A183" s="1" t="s">
        <v>335</v>
      </c>
      <c r="B183" s="1" t="s">
        <v>180</v>
      </c>
      <c r="C183" s="1" t="s">
        <v>615</v>
      </c>
      <c r="D183" s="1" t="s">
        <v>632</v>
      </c>
      <c r="E183" s="1" t="str">
        <f>_xlfn.XLOOKUP(A:A,[3]Matriz!$E:$E,[3]Matriz!$GT:$GT)</f>
        <v>B - D - A4</v>
      </c>
      <c r="F183" s="1" t="str">
        <f>_xlfn.XLOOKUP(A:A,[3]Matriz!$E:$E,[3]Matriz!$J:$J)</f>
        <v>luis.contreras.a@global.komatsu</v>
      </c>
    </row>
    <row r="184" spans="1:6" x14ac:dyDescent="0.35">
      <c r="A184" s="1" t="s">
        <v>414</v>
      </c>
      <c r="B184" s="1" t="s">
        <v>181</v>
      </c>
      <c r="C184" s="1" t="s">
        <v>615</v>
      </c>
      <c r="D184" s="1" t="s">
        <v>624</v>
      </c>
      <c r="E184" s="1" t="str">
        <f>_xlfn.XLOOKUP(A:A,[3]Matriz!$E:$E,[3]Matriz!$GT:$GT)</f>
        <v>B - D</v>
      </c>
      <c r="F184" s="1" t="str">
        <f>_xlfn.XLOOKUP(A:A,[3]Matriz!$E:$E,[3]Matriz!$J:$J)</f>
        <v>luis.duran.m@global.komatsu</v>
      </c>
    </row>
    <row r="185" spans="1:6" x14ac:dyDescent="0.35">
      <c r="A185" s="1" t="s">
        <v>348</v>
      </c>
      <c r="B185" s="1" t="s">
        <v>111</v>
      </c>
      <c r="C185" s="1" t="s">
        <v>615</v>
      </c>
      <c r="D185" s="1" t="s">
        <v>623</v>
      </c>
      <c r="E185" s="1" t="str">
        <f>_xlfn.XLOOKUP(A:A,[3]Matriz!$E:$E,[3]Matriz!$GT:$GT)</f>
        <v/>
      </c>
      <c r="F185" s="1" t="str">
        <f>_xlfn.XLOOKUP(A:A,[3]Matriz!$E:$E,[3]Matriz!$J:$J)</f>
        <v>luis.galleguillos@global.komatsu</v>
      </c>
    </row>
    <row r="186" spans="1:6" x14ac:dyDescent="0.35">
      <c r="A186" s="1" t="s">
        <v>463</v>
      </c>
      <c r="B186" s="1" t="s">
        <v>196</v>
      </c>
      <c r="C186" s="1" t="s">
        <v>615</v>
      </c>
      <c r="D186" s="1" t="s">
        <v>634</v>
      </c>
      <c r="E186" s="1" t="str">
        <f>_xlfn.XLOOKUP(A:A,[3]Matriz!$E:$E,[3]Matriz!$GT:$GT)</f>
        <v>B - D - A4</v>
      </c>
      <c r="F186" s="1" t="str">
        <f>_xlfn.XLOOKUP(A:A,[3]Matriz!$E:$E,[3]Matriz!$J:$J)</f>
        <v>luis.ly@global.komatsu</v>
      </c>
    </row>
    <row r="187" spans="1:6" x14ac:dyDescent="0.35">
      <c r="A187" s="1" t="s">
        <v>419</v>
      </c>
      <c r="B187" s="1" t="s">
        <v>420</v>
      </c>
      <c r="C187" s="1" t="s">
        <v>615</v>
      </c>
      <c r="D187" s="1" t="s">
        <v>626</v>
      </c>
      <c r="E187" s="1" t="str">
        <f>_xlfn.XLOOKUP(A:A,[3]Matriz!$E:$E,[3]Matriz!$GT:$GT)</f>
        <v>B - D - A4</v>
      </c>
      <c r="F187" s="1" t="str">
        <f>_xlfn.XLOOKUP(A:A,[3]Matriz!$E:$E,[3]Matriz!$J:$J)</f>
        <v xml:space="preserve">Luis.nunez.rojas@global.Komatsu </v>
      </c>
    </row>
    <row r="188" spans="1:6" x14ac:dyDescent="0.35">
      <c r="A188" s="2" t="s">
        <v>574</v>
      </c>
      <c r="B188" s="1" t="s">
        <v>130</v>
      </c>
      <c r="C188" s="1" t="s">
        <v>615</v>
      </c>
      <c r="D188" s="1" t="s">
        <v>635</v>
      </c>
      <c r="E188" s="1" t="str">
        <f>_xlfn.XLOOKUP(A:A,[3]Matriz!$E:$E,[3]Matriz!$GT:$GT)</f>
        <v>B</v>
      </c>
      <c r="F188" s="1" t="str">
        <f>_xlfn.XLOOKUP(A:A,[3]Matriz!$E:$E,[3]Matriz!$J:$J)</f>
        <v>luis.pereira.b@global.komatsu</v>
      </c>
    </row>
    <row r="189" spans="1:6" x14ac:dyDescent="0.35">
      <c r="A189" s="2" t="s">
        <v>329</v>
      </c>
      <c r="B189" s="1" t="s">
        <v>112</v>
      </c>
      <c r="C189" s="1" t="s">
        <v>615</v>
      </c>
      <c r="D189" s="1" t="s">
        <v>673</v>
      </c>
      <c r="E189" s="1" t="str">
        <f>_xlfn.XLOOKUP(A:A,[3]Matriz!$E:$E,[3]Matriz!$GT:$GT)</f>
        <v>B</v>
      </c>
      <c r="F189" s="1" t="str">
        <f>_xlfn.XLOOKUP(A:A,[3]Matriz!$E:$E,[3]Matriz!$J:$J)</f>
        <v>luis.placencia@global.komatsu</v>
      </c>
    </row>
    <row r="190" spans="1:6" x14ac:dyDescent="0.35">
      <c r="A190" s="1" t="s">
        <v>368</v>
      </c>
      <c r="B190" s="1" t="s">
        <v>113</v>
      </c>
      <c r="C190" s="1" t="s">
        <v>615</v>
      </c>
      <c r="D190" s="1" t="s">
        <v>624</v>
      </c>
      <c r="E190" s="1" t="str">
        <f>_xlfn.XLOOKUP(A:A,[3]Matriz!$E:$E,[3]Matriz!$GT:$GT)</f>
        <v>B</v>
      </c>
      <c r="F190" s="1" t="str">
        <f>_xlfn.XLOOKUP(A:A,[3]Matriz!$E:$E,[3]Matriz!$J:$J)</f>
        <v>l.reyes@global.komatsu</v>
      </c>
    </row>
    <row r="191" spans="1:6" x14ac:dyDescent="0.35">
      <c r="A191" s="1" t="s">
        <v>508</v>
      </c>
      <c r="B191" s="1" t="s">
        <v>509</v>
      </c>
      <c r="C191" s="1" t="s">
        <v>615</v>
      </c>
      <c r="D191" s="1" t="s">
        <v>634</v>
      </c>
      <c r="E191" s="1" t="str">
        <f>_xlfn.XLOOKUP(A:A,[3]Matriz!$E:$E,[3]Matriz!$GT:$GT)</f>
        <v/>
      </c>
      <c r="F191" s="1" t="str">
        <f>_xlfn.XLOOKUP(A:A,[3]Matriz!$E:$E,[3]Matriz!$J:$J)</f>
        <v>luis.veas@global.komatsu</v>
      </c>
    </row>
    <row r="192" spans="1:6" x14ac:dyDescent="0.35">
      <c r="A192" s="1" t="s">
        <v>478</v>
      </c>
      <c r="B192" s="1" t="s">
        <v>479</v>
      </c>
      <c r="C192" s="1" t="s">
        <v>615</v>
      </c>
      <c r="D192" s="1" t="s">
        <v>630</v>
      </c>
      <c r="E192" s="1" t="str">
        <f>_xlfn.XLOOKUP(A:A,[3]Matriz!$E:$E,[3]Matriz!$GT:$GT)</f>
        <v/>
      </c>
      <c r="F192" s="1" t="str">
        <f>_xlfn.XLOOKUP(A:A,[3]Matriz!$E:$E,[3]Matriz!$J:$J)</f>
        <v>luisa.parra@global.komatsu</v>
      </c>
    </row>
    <row r="193" spans="1:6" x14ac:dyDescent="0.35">
      <c r="A193" s="1" t="s">
        <v>290</v>
      </c>
      <c r="B193" s="1" t="s">
        <v>182</v>
      </c>
      <c r="C193" s="1" t="s">
        <v>615</v>
      </c>
      <c r="D193" s="1" t="s">
        <v>653</v>
      </c>
      <c r="E193" s="1" t="str">
        <f>_xlfn.XLOOKUP(A:A,[3]Matriz!$E:$E,[3]Matriz!$GT:$GT)</f>
        <v>B - D</v>
      </c>
      <c r="F193" s="1" t="str">
        <f>_xlfn.XLOOKUP(A:A,[3]Matriz!$E:$E,[3]Matriz!$J:$J)</f>
        <v>luismer.marin@global.komatsu</v>
      </c>
    </row>
    <row r="194" spans="1:6" x14ac:dyDescent="0.35">
      <c r="A194" s="1" t="s">
        <v>573</v>
      </c>
      <c r="B194" s="1" t="s">
        <v>555</v>
      </c>
      <c r="C194" s="1" t="s">
        <v>615</v>
      </c>
      <c r="D194" s="1" t="s">
        <v>620</v>
      </c>
      <c r="E194" s="1" t="str">
        <f>_xlfn.XLOOKUP(A:A,[3]Matriz!$E:$E,[3]Matriz!$GT:$GT)</f>
        <v>B</v>
      </c>
      <c r="F194" s="1" t="str">
        <f>_xlfn.XLOOKUP(A:A,[3]Matriz!$E:$E,[3]Matriz!$J:$J)</f>
        <v>lukas.herrada@global.komatsu</v>
      </c>
    </row>
    <row r="195" spans="1:6" x14ac:dyDescent="0.35">
      <c r="A195" s="1" t="s">
        <v>404</v>
      </c>
      <c r="B195" s="4" t="s">
        <v>183</v>
      </c>
      <c r="C195" s="1" t="s">
        <v>615</v>
      </c>
      <c r="D195" s="1" t="s">
        <v>626</v>
      </c>
      <c r="E195" s="1" t="str">
        <f>_xlfn.XLOOKUP(A:A,[3]Matriz!$E:$E,[3]Matriz!$GT:$GT)</f>
        <v>B</v>
      </c>
      <c r="F195" s="1" t="str">
        <f>_xlfn.XLOOKUP(A:A,[3]Matriz!$E:$E,[3]Matriz!$J:$J)</f>
        <v>macario.mamani.g@global.komatsu</v>
      </c>
    </row>
    <row r="196" spans="1:6" x14ac:dyDescent="0.35">
      <c r="A196" s="1" t="s">
        <v>392</v>
      </c>
      <c r="B196" s="1" t="s">
        <v>138</v>
      </c>
      <c r="C196" s="1" t="s">
        <v>615</v>
      </c>
      <c r="D196" s="1" t="s">
        <v>669</v>
      </c>
      <c r="E196" s="1" t="str">
        <f>_xlfn.XLOOKUP(A:A,[3]Matriz!$E:$E,[3]Matriz!$GT:$GT)</f>
        <v/>
      </c>
      <c r="F196" s="1" t="str">
        <f>_xlfn.XLOOKUP(A:A,[3]Matriz!$E:$E,[3]Matriz!$J:$J)</f>
        <v>maite.hidalgo@global.komatsu</v>
      </c>
    </row>
    <row r="197" spans="1:6" x14ac:dyDescent="0.35">
      <c r="A197" s="1" t="s">
        <v>432</v>
      </c>
      <c r="B197" s="1" t="s">
        <v>184</v>
      </c>
      <c r="C197" s="1" t="s">
        <v>615</v>
      </c>
      <c r="D197" s="1" t="s">
        <v>633</v>
      </c>
      <c r="E197" s="1" t="str">
        <f>_xlfn.XLOOKUP(A:A,[3]Matriz!$E:$E,[3]Matriz!$GT:$GT)</f>
        <v>B</v>
      </c>
      <c r="F197" s="1" t="str">
        <f>_xlfn.XLOOKUP(A:A,[3]Matriz!$E:$E,[3]Matriz!$J:$J)</f>
        <v>manuel.quiroz@global.komatsu</v>
      </c>
    </row>
    <row r="198" spans="1:6" x14ac:dyDescent="0.35">
      <c r="A198" s="1" t="s">
        <v>275</v>
      </c>
      <c r="B198" s="1" t="s">
        <v>222</v>
      </c>
      <c r="C198" s="1" t="s">
        <v>615</v>
      </c>
      <c r="D198" s="1" t="s">
        <v>674</v>
      </c>
      <c r="E198" s="1" t="str">
        <f>_xlfn.XLOOKUP(A:A,[3]Matriz!$E:$E,[3]Matriz!$GT:$GT)</f>
        <v>B - A4</v>
      </c>
      <c r="F198" s="1" t="str">
        <f>_xlfn.XLOOKUP(A:A,[3]Matriz!$E:$E,[3]Matriz!$J:$J)</f>
        <v>manuel.ramirez.o@global.komatsu</v>
      </c>
    </row>
    <row r="199" spans="1:6" x14ac:dyDescent="0.35">
      <c r="A199" s="1" t="s">
        <v>496</v>
      </c>
      <c r="B199" s="1" t="s">
        <v>114</v>
      </c>
      <c r="C199" s="1" t="s">
        <v>615</v>
      </c>
      <c r="D199" s="1" t="s">
        <v>623</v>
      </c>
      <c r="E199" s="1" t="str">
        <f>_xlfn.XLOOKUP(A:A,[3]Matriz!$E:$E,[3]Matriz!$GT:$GT)</f>
        <v>B - D</v>
      </c>
      <c r="F199" s="1" t="str">
        <f>_xlfn.XLOOKUP(A:A,[3]Matriz!$E:$E,[3]Matriz!$J:$J)</f>
        <v>marcelo.ogalde@global.komatsu </v>
      </c>
    </row>
    <row r="200" spans="1:6" x14ac:dyDescent="0.35">
      <c r="A200" s="1" t="s">
        <v>286</v>
      </c>
      <c r="B200" s="1" t="s">
        <v>58</v>
      </c>
      <c r="C200" s="1" t="s">
        <v>615</v>
      </c>
      <c r="D200" s="1" t="s">
        <v>658</v>
      </c>
      <c r="E200" s="1" t="str">
        <f>_xlfn.XLOOKUP(A:A,[3]Matriz!$E:$E,[3]Matriz!$GT:$GT)</f>
        <v>B</v>
      </c>
      <c r="F200" s="1" t="str">
        <f>_xlfn.XLOOKUP(A:A,[3]Matriz!$E:$E,[3]Matriz!$J:$J)</f>
        <v>marcelo.osses@global.komatsu</v>
      </c>
    </row>
    <row r="201" spans="1:6" x14ac:dyDescent="0.35">
      <c r="A201" s="1" t="s">
        <v>425</v>
      </c>
      <c r="B201" s="1" t="s">
        <v>185</v>
      </c>
      <c r="C201" s="1" t="s">
        <v>615</v>
      </c>
      <c r="D201" s="1" t="s">
        <v>623</v>
      </c>
      <c r="E201" s="1" t="str">
        <f>_xlfn.XLOOKUP(A:A,[3]Matriz!$E:$E,[3]Matriz!$GT:$GT)</f>
        <v>B</v>
      </c>
      <c r="F201" s="1" t="str">
        <f>_xlfn.XLOOKUP(A:A,[3]Matriz!$E:$E,[3]Matriz!$J:$J)</f>
        <v>marcelo.reinoso@global.komatsu</v>
      </c>
    </row>
    <row r="202" spans="1:6" x14ac:dyDescent="0.35">
      <c r="A202" s="1" t="s">
        <v>465</v>
      </c>
      <c r="B202" s="1" t="s">
        <v>186</v>
      </c>
      <c r="C202" s="1" t="s">
        <v>615</v>
      </c>
      <c r="D202" s="1" t="s">
        <v>623</v>
      </c>
      <c r="E202" s="1" t="str">
        <f>_xlfn.XLOOKUP(A:A,[3]Matriz!$E:$E,[3]Matriz!$GT:$GT)</f>
        <v>B</v>
      </c>
      <c r="F202" s="1" t="str">
        <f>_xlfn.XLOOKUP(A:A,[3]Matriz!$E:$E,[3]Matriz!$J:$J)</f>
        <v>Marcelo.rojas@global.komatsu</v>
      </c>
    </row>
    <row r="203" spans="1:6" x14ac:dyDescent="0.35">
      <c r="A203" s="1" t="s">
        <v>417</v>
      </c>
      <c r="B203" s="1" t="s">
        <v>115</v>
      </c>
      <c r="C203" s="1" t="s">
        <v>615</v>
      </c>
      <c r="D203" s="1" t="s">
        <v>623</v>
      </c>
      <c r="E203" s="1" t="str">
        <f>_xlfn.XLOOKUP(A:A,[3]Matriz!$E:$E,[3]Matriz!$GT:$GT)</f>
        <v>B - D - A4</v>
      </c>
      <c r="F203" s="1" t="str">
        <f>_xlfn.XLOOKUP(A:A,[3]Matriz!$E:$E,[3]Matriz!$J:$J)</f>
        <v>marco.alvarez@global.komatsu</v>
      </c>
    </row>
    <row r="204" spans="1:6" x14ac:dyDescent="0.35">
      <c r="A204" s="1" t="s">
        <v>544</v>
      </c>
      <c r="B204" s="1" t="s">
        <v>545</v>
      </c>
      <c r="C204" s="1" t="s">
        <v>615</v>
      </c>
      <c r="D204" s="1" t="s">
        <v>652</v>
      </c>
      <c r="E204" s="1" t="str">
        <f>_xlfn.XLOOKUP(A:A,[3]Matriz!$E:$E,[3]Matriz!$GT:$GT)</f>
        <v/>
      </c>
      <c r="F204" s="1" t="str">
        <f>_xlfn.XLOOKUP(A:A,[3]Matriz!$E:$E,[3]Matriz!$J:$J)</f>
        <v>marco.pasten.r@global.komatsu</v>
      </c>
    </row>
    <row r="205" spans="1:6" x14ac:dyDescent="0.35">
      <c r="A205" s="2" t="s">
        <v>459</v>
      </c>
      <c r="B205" s="3" t="s">
        <v>59</v>
      </c>
      <c r="C205" s="1" t="s">
        <v>615</v>
      </c>
      <c r="D205" s="1" t="s">
        <v>679</v>
      </c>
      <c r="E205" s="1" t="str">
        <f>_xlfn.XLOOKUP(A:A,[3]Matriz!$E:$E,[3]Matriz!$GT:$GT)</f>
        <v>B</v>
      </c>
      <c r="F205" s="1" t="str">
        <f>_xlfn.XLOOKUP(A:A,[3]Matriz!$E:$E,[3]Matriz!$J:$J)</f>
        <v>marco.pinto@global.komatsu</v>
      </c>
    </row>
    <row r="206" spans="1:6" x14ac:dyDescent="0.35">
      <c r="A206" s="1" t="s">
        <v>387</v>
      </c>
      <c r="B206" s="1" t="s">
        <v>116</v>
      </c>
      <c r="C206" s="1" t="s">
        <v>615</v>
      </c>
      <c r="D206" s="1" t="s">
        <v>624</v>
      </c>
      <c r="E206" s="1" t="str">
        <f>_xlfn.XLOOKUP(A:A,[3]Matriz!$E:$E,[3]Matriz!$GT:$GT)</f>
        <v>B</v>
      </c>
      <c r="F206" s="1" t="str">
        <f>_xlfn.XLOOKUP(A:A,[3]Matriz!$E:$E,[3]Matriz!$J:$J)</f>
        <v>marcos.moya@global.komatsu</v>
      </c>
    </row>
    <row r="207" spans="1:6" x14ac:dyDescent="0.35">
      <c r="A207" s="1" t="s">
        <v>481</v>
      </c>
      <c r="B207" s="1" t="s">
        <v>223</v>
      </c>
      <c r="C207" s="1" t="s">
        <v>615</v>
      </c>
      <c r="D207" s="1" t="s">
        <v>680</v>
      </c>
      <c r="E207" s="1" t="str">
        <f>_xlfn.XLOOKUP(A:A,[3]Matriz!$E:$E,[3]Matriz!$GT:$GT)</f>
        <v>B - D - A4</v>
      </c>
      <c r="F207" s="1" t="str">
        <f>_xlfn.XLOOKUP(A:A,[3]Matriz!$E:$E,[3]Matriz!$J:$J)</f>
        <v>mario.becerra@global.komatsu</v>
      </c>
    </row>
    <row r="208" spans="1:6" x14ac:dyDescent="0.35">
      <c r="A208" s="1" t="s">
        <v>435</v>
      </c>
      <c r="B208" s="1" t="s">
        <v>117</v>
      </c>
      <c r="C208" s="1" t="s">
        <v>615</v>
      </c>
      <c r="D208" s="1" t="s">
        <v>642</v>
      </c>
      <c r="E208" s="1" t="str">
        <f>_xlfn.XLOOKUP(A:A,[3]Matriz!$E:$E,[3]Matriz!$GT:$GT)</f>
        <v>B - A4</v>
      </c>
      <c r="F208" s="1" t="str">
        <f>_xlfn.XLOOKUP(A:A,[3]Matriz!$E:$E,[3]Matriz!$J:$J)</f>
        <v>mario.morales@global.komatsu</v>
      </c>
    </row>
    <row r="209" spans="1:6" x14ac:dyDescent="0.35">
      <c r="A209" s="1" t="s">
        <v>255</v>
      </c>
      <c r="B209" s="1" t="s">
        <v>256</v>
      </c>
      <c r="C209" s="1" t="s">
        <v>615</v>
      </c>
      <c r="D209" s="1" t="s">
        <v>682</v>
      </c>
      <c r="E209" s="1" t="str">
        <f>_xlfn.XLOOKUP(A:A,[3]Matriz!$E:$E,[3]Matriz!$GT:$GT)</f>
        <v/>
      </c>
      <c r="F209" s="1" t="str">
        <f>_xlfn.XLOOKUP(A:A,[3]Matriz!$E:$E,[3]Matriz!$J:$J)</f>
        <v>mario.torres@global.komatsu</v>
      </c>
    </row>
    <row r="210" spans="1:6" x14ac:dyDescent="0.35">
      <c r="A210" s="1" t="s">
        <v>316</v>
      </c>
      <c r="B210" s="1" t="s">
        <v>60</v>
      </c>
      <c r="C210" s="1" t="s">
        <v>615</v>
      </c>
      <c r="D210" s="1" t="s">
        <v>629</v>
      </c>
      <c r="E210" s="1" t="str">
        <f>_xlfn.XLOOKUP(A:A,[3]Matriz!$E:$E,[3]Matriz!$GT:$GT)</f>
        <v>B</v>
      </c>
      <c r="F210" s="1" t="str">
        <f>_xlfn.XLOOKUP(A:A,[3]Matriz!$E:$E,[3]Matriz!$J:$J)</f>
        <v>mario.vega.m@global.komatsu</v>
      </c>
    </row>
    <row r="211" spans="1:6" x14ac:dyDescent="0.35">
      <c r="A211" s="1" t="s">
        <v>443</v>
      </c>
      <c r="B211" s="1" t="s">
        <v>187</v>
      </c>
      <c r="C211" s="1" t="s">
        <v>615</v>
      </c>
      <c r="D211" s="1" t="s">
        <v>630</v>
      </c>
      <c r="E211" s="1" t="str">
        <f>_xlfn.XLOOKUP(A:A,[3]Matriz!$E:$E,[3]Matriz!$GT:$GT)</f>
        <v/>
      </c>
      <c r="F211" s="1" t="str">
        <f>_xlfn.XLOOKUP(A:A,[3]Matriz!$E:$E,[3]Matriz!$J:$J)</f>
        <v>marjorie.munoz@global.komatsu</v>
      </c>
    </row>
    <row r="212" spans="1:6" x14ac:dyDescent="0.35">
      <c r="A212" s="1" t="s">
        <v>471</v>
      </c>
      <c r="B212" s="1" t="s">
        <v>224</v>
      </c>
      <c r="C212" s="1" t="s">
        <v>615</v>
      </c>
      <c r="D212" s="1" t="s">
        <v>657</v>
      </c>
      <c r="E212" s="1" t="str">
        <f>_xlfn.XLOOKUP(A:A,[3]Matriz!$E:$E,[3]Matriz!$GT:$GT)</f>
        <v/>
      </c>
      <c r="F212" s="1" t="str">
        <f>_xlfn.XLOOKUP(A:A,[3]Matriz!$E:$E,[3]Matriz!$J:$J)</f>
        <v>matias.aguilera.v@global.komatsu</v>
      </c>
    </row>
    <row r="213" spans="1:6" x14ac:dyDescent="0.35">
      <c r="A213" s="1" t="s">
        <v>393</v>
      </c>
      <c r="B213" s="1" t="s">
        <v>142</v>
      </c>
      <c r="C213" s="1" t="s">
        <v>615</v>
      </c>
      <c r="D213" s="1" t="s">
        <v>683</v>
      </c>
      <c r="E213" s="1" t="str">
        <f>_xlfn.XLOOKUP(A:A,[3]Matriz!$E:$E,[3]Matriz!$GT:$GT)</f>
        <v/>
      </c>
      <c r="F213" s="1" t="str">
        <f>_xlfn.XLOOKUP(A:A,[3]Matriz!$E:$E,[3]Matriz!$J:$J)</f>
        <v>matias.flores@global.komatsu</v>
      </c>
    </row>
    <row r="214" spans="1:6" x14ac:dyDescent="0.35">
      <c r="A214" s="1" t="s">
        <v>268</v>
      </c>
      <c r="B214" s="1" t="s">
        <v>27</v>
      </c>
      <c r="C214" s="1" t="s">
        <v>615</v>
      </c>
      <c r="D214" s="1" t="s">
        <v>630</v>
      </c>
      <c r="E214" s="1" t="str">
        <f>_xlfn.XLOOKUP(A:A,[3]Matriz!$E:$E,[3]Matriz!$GT:$GT)</f>
        <v>B</v>
      </c>
      <c r="F214" s="1" t="str">
        <f>_xlfn.XLOOKUP(A:A,[3]Matriz!$E:$E,[3]Matriz!$J:$J)</f>
        <v>Matias.gonzalez.v@global.komatsu</v>
      </c>
    </row>
    <row r="215" spans="1:6" x14ac:dyDescent="0.35">
      <c r="A215" s="1" t="s">
        <v>601</v>
      </c>
      <c r="B215" s="1" t="s">
        <v>602</v>
      </c>
      <c r="C215" s="1" t="s">
        <v>615</v>
      </c>
      <c r="D215" s="1" t="s">
        <v>619</v>
      </c>
      <c r="E215" s="1" t="str">
        <f>_xlfn.XLOOKUP(A:A,[3]Matriz!$E:$E,[3]Matriz!$GT:$GT)</f>
        <v/>
      </c>
      <c r="F215" s="1" t="str">
        <f>_xlfn.XLOOKUP(A:A,[3]Matriz!$E:$E,[3]Matriz!$J:$J)</f>
        <v>matias.tapia.h@global.komatsu</v>
      </c>
    </row>
    <row r="216" spans="1:6" x14ac:dyDescent="0.35">
      <c r="A216" s="1" t="s">
        <v>504</v>
      </c>
      <c r="B216" s="1" t="s">
        <v>29</v>
      </c>
      <c r="C216" s="1" t="s">
        <v>615</v>
      </c>
      <c r="D216" s="1" t="s">
        <v>626</v>
      </c>
      <c r="E216" s="1" t="str">
        <f>_xlfn.XLOOKUP(A:A,[3]Matriz!$E:$E,[3]Matriz!$GT:$GT)</f>
        <v>B - D - A4</v>
      </c>
      <c r="F216" s="1" t="str">
        <f>_xlfn.XLOOKUP(A:A,[3]Matriz!$E:$E,[3]Matriz!$J:$J)</f>
        <v>mauricio.aguilera.t@global.komatsu</v>
      </c>
    </row>
    <row r="217" spans="1:6" x14ac:dyDescent="0.35">
      <c r="A217" s="1" t="s">
        <v>245</v>
      </c>
      <c r="B217" s="1" t="s">
        <v>225</v>
      </c>
      <c r="C217" s="1" t="s">
        <v>615</v>
      </c>
      <c r="D217" s="1" t="s">
        <v>677</v>
      </c>
      <c r="E217" s="1" t="str">
        <f>_xlfn.XLOOKUP(A:A,[3]Matriz!$E:$E,[3]Matriz!$GT:$GT)</f>
        <v>B - D - A4</v>
      </c>
      <c r="F217" s="1" t="str">
        <f>_xlfn.XLOOKUP(A:A,[3]Matriz!$E:$E,[3]Matriz!$J:$J)</f>
        <v>mauricio.guerra@global.komatsu</v>
      </c>
    </row>
    <row r="218" spans="1:6" x14ac:dyDescent="0.35">
      <c r="A218" s="1" t="s">
        <v>270</v>
      </c>
      <c r="B218" s="1" t="s">
        <v>16</v>
      </c>
      <c r="C218" s="1" t="s">
        <v>615</v>
      </c>
      <c r="D218" s="1" t="s">
        <v>645</v>
      </c>
      <c r="E218" s="1" t="str">
        <f>_xlfn.XLOOKUP(A:A,[3]Matriz!$E:$E,[3]Matriz!$GT:$GT)</f>
        <v>B</v>
      </c>
      <c r="F218" s="1" t="str">
        <f>_xlfn.XLOOKUP(A:A,[3]Matriz!$E:$E,[3]Matriz!$J:$J)</f>
        <v>miguel.estay@global.komatsu</v>
      </c>
    </row>
    <row r="219" spans="1:6" x14ac:dyDescent="0.35">
      <c r="A219" s="1" t="s">
        <v>498</v>
      </c>
      <c r="B219" s="1" t="s">
        <v>499</v>
      </c>
      <c r="C219" s="1" t="s">
        <v>615</v>
      </c>
      <c r="D219" s="1" t="s">
        <v>634</v>
      </c>
      <c r="E219" s="1" t="str">
        <f>_xlfn.XLOOKUP(A:A,[3]Matriz!$E:$E,[3]Matriz!$GT:$GT)</f>
        <v>B - D - A4</v>
      </c>
      <c r="F219" s="1" t="str">
        <f>_xlfn.XLOOKUP(A:A,[3]Matriz!$E:$E,[3]Matriz!$J:$J)</f>
        <v>miguel.rojas@global.komatsu</v>
      </c>
    </row>
    <row r="220" spans="1:6" x14ac:dyDescent="0.35">
      <c r="A220" s="1" t="s">
        <v>362</v>
      </c>
      <c r="B220" s="1" t="s">
        <v>605</v>
      </c>
      <c r="C220" s="1" t="s">
        <v>615</v>
      </c>
      <c r="D220" s="1" t="s">
        <v>619</v>
      </c>
      <c r="E220" s="1" t="str">
        <f>_xlfn.XLOOKUP(A:A,[3]Matriz!$E:$E,[3]Matriz!$GT:$GT)</f>
        <v>B</v>
      </c>
      <c r="F220" s="1" t="str">
        <f>_xlfn.XLOOKUP(A:A,[3]Matriz!$E:$E,[3]Matriz!$J:$J)</f>
        <v>miguel.sierra.r@global.komatsu</v>
      </c>
    </row>
    <row r="221" spans="1:6" x14ac:dyDescent="0.35">
      <c r="A221" s="1" t="s">
        <v>541</v>
      </c>
      <c r="B221" s="1" t="s">
        <v>226</v>
      </c>
      <c r="C221" s="1" t="s">
        <v>615</v>
      </c>
      <c r="D221" s="1" t="s">
        <v>674</v>
      </c>
      <c r="E221" s="1" t="str">
        <f>_xlfn.XLOOKUP(A:A,[3]Matriz!$E:$E,[3]Matriz!$GT:$GT)</f>
        <v>B - D - A4</v>
      </c>
      <c r="F221" s="1" t="str">
        <f>_xlfn.XLOOKUP(A:A,[3]Matriz!$E:$E,[3]Matriz!$J:$J)</f>
        <v>milan.godoy@global.komatsu</v>
      </c>
    </row>
    <row r="222" spans="1:6" x14ac:dyDescent="0.35">
      <c r="A222" s="1" t="s">
        <v>369</v>
      </c>
      <c r="B222" s="1" t="s">
        <v>118</v>
      </c>
      <c r="C222" s="1" t="s">
        <v>615</v>
      </c>
      <c r="D222" s="1" t="s">
        <v>678</v>
      </c>
      <c r="E222" s="1" t="str">
        <f>_xlfn.XLOOKUP(A:A,[3]Matriz!$E:$E,[3]Matriz!$GT:$GT)</f>
        <v>B - A4</v>
      </c>
      <c r="F222" s="1" t="str">
        <f>_xlfn.XLOOKUP(A:A,[3]Matriz!$E:$E,[3]Matriz!$J:$J)</f>
        <v>milton.lobera@global.komatsu</v>
      </c>
    </row>
    <row r="223" spans="1:6" x14ac:dyDescent="0.35">
      <c r="A223" s="1" t="s">
        <v>531</v>
      </c>
      <c r="B223" s="1" t="s">
        <v>17</v>
      </c>
      <c r="C223" s="1" t="s">
        <v>615</v>
      </c>
      <c r="D223" s="1" t="s">
        <v>654</v>
      </c>
      <c r="E223" s="1" t="str">
        <f>_xlfn.XLOOKUP(A:A,[3]Matriz!$E:$E,[3]Matriz!$GT:$GT)</f>
        <v>B - D - A4</v>
      </c>
      <c r="F223" s="1" t="str">
        <f>_xlfn.XLOOKUP(A:A,[3]Matriz!$E:$E,[3]Matriz!$J:$J)</f>
        <v>milton.rojas@global.komatsu</v>
      </c>
    </row>
    <row r="224" spans="1:6" x14ac:dyDescent="0.35">
      <c r="A224" s="2" t="s">
        <v>272</v>
      </c>
      <c r="B224" s="1" t="s">
        <v>23</v>
      </c>
      <c r="C224" s="1" t="s">
        <v>615</v>
      </c>
      <c r="D224" s="1" t="s">
        <v>649</v>
      </c>
      <c r="E224" s="1" t="str">
        <f>_xlfn.XLOOKUP(A:A,[3]Matriz!$E:$E,[3]Matriz!$GT:$GT)</f>
        <v/>
      </c>
      <c r="F224" s="1" t="str">
        <f>_xlfn.XLOOKUP(A:A,[3]Matriz!$E:$E,[3]Matriz!$J:$J)</f>
        <v>natalia.antequera.a@global.komatsu</v>
      </c>
    </row>
    <row r="225" spans="1:6" x14ac:dyDescent="0.35">
      <c r="A225" s="1" t="s">
        <v>413</v>
      </c>
      <c r="B225" s="1" t="s">
        <v>79</v>
      </c>
      <c r="C225" s="1" t="s">
        <v>615</v>
      </c>
      <c r="D225" s="1" t="s">
        <v>623</v>
      </c>
      <c r="E225" s="1" t="str">
        <f>_xlfn.XLOOKUP(A:A,[3]Matriz!$E:$E,[3]Matriz!$GT:$GT)</f>
        <v/>
      </c>
      <c r="F225" s="1" t="str">
        <f>_xlfn.XLOOKUP(A:A,[3]Matriz!$E:$E,[3]Matriz!$J:$J)</f>
        <v>natalia.urrelo@global.komatsu</v>
      </c>
    </row>
    <row r="226" spans="1:6" x14ac:dyDescent="0.35">
      <c r="A226" s="1" t="s">
        <v>609</v>
      </c>
      <c r="B226" s="1" t="s">
        <v>608</v>
      </c>
      <c r="C226" s="1" t="s">
        <v>617</v>
      </c>
      <c r="D226" s="1" t="s">
        <v>696</v>
      </c>
      <c r="E226" s="1" t="str">
        <f>_xlfn.XLOOKUP(A:A,[3]Matriz!$E:$E,[3]Matriz!$GT:$GT)</f>
        <v/>
      </c>
      <c r="F226" s="1" t="str">
        <f>_xlfn.XLOOKUP(A:A,[3]Matriz!$E:$E,[3]Matriz!$J:$J)</f>
        <v>nelly.echeverria@global.komatsu</v>
      </c>
    </row>
    <row r="227" spans="1:6" x14ac:dyDescent="0.35">
      <c r="A227" s="1" t="s">
        <v>294</v>
      </c>
      <c r="B227" s="1" t="s">
        <v>61</v>
      </c>
      <c r="C227" s="1" t="s">
        <v>615</v>
      </c>
      <c r="D227" s="1" t="s">
        <v>632</v>
      </c>
      <c r="E227" s="1" t="str">
        <f>_xlfn.XLOOKUP(A:A,[3]Matriz!$E:$E,[3]Matriz!$GT:$GT)</f>
        <v>B</v>
      </c>
      <c r="F227" s="1" t="str">
        <f>_xlfn.XLOOKUP(A:A,[3]Matriz!$E:$E,[3]Matriz!$J:$J)</f>
        <v>nelson.tapia@global.komatsu</v>
      </c>
    </row>
    <row r="228" spans="1:6" x14ac:dyDescent="0.35">
      <c r="A228" s="1" t="s">
        <v>356</v>
      </c>
      <c r="B228" s="1" t="s">
        <v>227</v>
      </c>
      <c r="C228" s="1" t="s">
        <v>615</v>
      </c>
      <c r="D228" s="1" t="s">
        <v>650</v>
      </c>
      <c r="E228" s="1" t="str">
        <f>_xlfn.XLOOKUP(A:A,[3]Matriz!$E:$E,[3]Matriz!$GT:$GT)</f>
        <v>B</v>
      </c>
      <c r="F228" s="1" t="str">
        <f>_xlfn.XLOOKUP(A:A,[3]Matriz!$E:$E,[3]Matriz!$J:$J)</f>
        <v>nestor.cruz.g@global.komatsu</v>
      </c>
    </row>
    <row r="229" spans="1:6" x14ac:dyDescent="0.35">
      <c r="A229" s="1" t="s">
        <v>244</v>
      </c>
      <c r="B229" s="1" t="s">
        <v>188</v>
      </c>
      <c r="C229" s="1" t="s">
        <v>615</v>
      </c>
      <c r="D229" s="1" t="s">
        <v>680</v>
      </c>
      <c r="E229" s="1" t="str">
        <f>_xlfn.XLOOKUP(A:A,[3]Matriz!$E:$E,[3]Matriz!$GT:$GT)</f>
        <v>B - D - A4</v>
      </c>
      <c r="F229" s="1" t="str">
        <f>_xlfn.XLOOKUP(A:A,[3]Matriz!$E:$E,[3]Matriz!$J:$J)</f>
        <v>nibaldo.rojas@global.komatsu</v>
      </c>
    </row>
    <row r="230" spans="1:6" x14ac:dyDescent="0.35">
      <c r="A230" s="1" t="s">
        <v>304</v>
      </c>
      <c r="B230" s="1" t="s">
        <v>139</v>
      </c>
      <c r="C230" s="1" t="s">
        <v>615</v>
      </c>
      <c r="D230" s="1" t="s">
        <v>619</v>
      </c>
      <c r="E230" s="1" t="str">
        <f>_xlfn.XLOOKUP(A:A,[3]Matriz!$E:$E,[3]Matriz!$GT:$GT)</f>
        <v>B</v>
      </c>
      <c r="F230" s="1" t="str">
        <f>_xlfn.XLOOKUP(A:A,[3]Matriz!$E:$E,[3]Matriz!$J:$J)</f>
        <v>nicolas.cifuentes@global.komatsu</v>
      </c>
    </row>
    <row r="231" spans="1:6" x14ac:dyDescent="0.35">
      <c r="A231" s="1" t="s">
        <v>331</v>
      </c>
      <c r="B231" s="4" t="s">
        <v>119</v>
      </c>
      <c r="C231" s="1" t="s">
        <v>615</v>
      </c>
      <c r="D231" s="1" t="s">
        <v>623</v>
      </c>
      <c r="E231" s="1" t="str">
        <f>_xlfn.XLOOKUP(A:A,[3]Matriz!$E:$E,[3]Matriz!$GT:$GT)</f>
        <v/>
      </c>
      <c r="F231" s="1" t="str">
        <f>_xlfn.XLOOKUP(A:A,[3]Matriz!$E:$E,[3]Matriz!$J:$J)</f>
        <v>nicolas.maldonado@global.komatsu</v>
      </c>
    </row>
    <row r="232" spans="1:6" x14ac:dyDescent="0.35">
      <c r="A232" s="1" t="s">
        <v>409</v>
      </c>
      <c r="B232" s="1" t="s">
        <v>62</v>
      </c>
      <c r="C232" s="1" t="s">
        <v>615</v>
      </c>
      <c r="D232" s="1" t="s">
        <v>632</v>
      </c>
      <c r="E232" s="1" t="str">
        <f>_xlfn.XLOOKUP(A:A,[3]Matriz!$E:$E,[3]Matriz!$GT:$GT)</f>
        <v>B</v>
      </c>
      <c r="F232" s="1" t="str">
        <f>_xlfn.XLOOKUP(A:A,[3]Matriz!$E:$E,[3]Matriz!$J:$J)</f>
        <v>nicolas.miranda@global.komatsu</v>
      </c>
    </row>
    <row r="233" spans="1:6" x14ac:dyDescent="0.35">
      <c r="A233" s="1" t="s">
        <v>349</v>
      </c>
      <c r="B233" s="1" t="s">
        <v>140</v>
      </c>
      <c r="C233" s="1" t="s">
        <v>615</v>
      </c>
      <c r="D233" s="1" t="s">
        <v>623</v>
      </c>
      <c r="E233" s="1" t="str">
        <f>_xlfn.XLOOKUP(A:A,[3]Matriz!$E:$E,[3]Matriz!$GT:$GT)</f>
        <v>B</v>
      </c>
      <c r="F233" s="1" t="str">
        <f>_xlfn.XLOOKUP(A:A,[3]Matriz!$E:$E,[3]Matriz!$J:$J)</f>
        <v>nicolas.quezada@global.komatsu</v>
      </c>
    </row>
    <row r="234" spans="1:6" x14ac:dyDescent="0.35">
      <c r="A234" s="1" t="s">
        <v>328</v>
      </c>
      <c r="B234" s="1" t="s">
        <v>189</v>
      </c>
      <c r="C234" s="1" t="s">
        <v>615</v>
      </c>
      <c r="D234" s="1" t="s">
        <v>623</v>
      </c>
      <c r="E234" s="1" t="str">
        <f>_xlfn.XLOOKUP(A:A,[3]Matriz!$E:$E,[3]Matriz!$GT:$GT)</f>
        <v>B - D</v>
      </c>
      <c r="F234" s="1" t="str">
        <f>_xlfn.XLOOKUP(A:A,[3]Matriz!$E:$E,[3]Matriz!$J:$J)</f>
        <v>nikolas.monje@global.komatsu</v>
      </c>
    </row>
    <row r="235" spans="1:6" x14ac:dyDescent="0.35">
      <c r="A235" s="1" t="s">
        <v>518</v>
      </c>
      <c r="B235" s="4" t="s">
        <v>120</v>
      </c>
      <c r="C235" s="1" t="s">
        <v>615</v>
      </c>
      <c r="D235" s="1" t="s">
        <v>678</v>
      </c>
      <c r="E235" s="1" t="str">
        <f>_xlfn.XLOOKUP(A:A,[3]Matriz!$E:$E,[3]Matriz!$GT:$GT)</f>
        <v>B - D</v>
      </c>
      <c r="F235" s="1" t="str">
        <f>_xlfn.XLOOKUP(A:A,[3]Matriz!$E:$E,[3]Matriz!$J:$J)</f>
        <v>nilsson.becerra@global.komatsu</v>
      </c>
    </row>
    <row r="236" spans="1:6" x14ac:dyDescent="0.35">
      <c r="A236" s="1" t="s">
        <v>306</v>
      </c>
      <c r="B236" s="1" t="s">
        <v>63</v>
      </c>
      <c r="C236" s="1" t="s">
        <v>615</v>
      </c>
      <c r="D236" s="1" t="s">
        <v>629</v>
      </c>
      <c r="E236" s="1" t="str">
        <f>_xlfn.XLOOKUP(A:A,[3]Matriz!$E:$E,[3]Matriz!$GT:$GT)</f>
        <v>B - D</v>
      </c>
      <c r="F236" s="1" t="str">
        <f>_xlfn.XLOOKUP(A:A,[3]Matriz!$E:$E,[3]Matriz!$J:$J)</f>
        <v>omar.ortega.s@global.komatsu</v>
      </c>
    </row>
    <row r="237" spans="1:6" x14ac:dyDescent="0.35">
      <c r="A237" s="1" t="s">
        <v>442</v>
      </c>
      <c r="B237" s="4" t="s">
        <v>121</v>
      </c>
      <c r="C237" s="1" t="s">
        <v>615</v>
      </c>
      <c r="D237" s="1" t="s">
        <v>633</v>
      </c>
      <c r="E237" s="1" t="str">
        <f>_xlfn.XLOOKUP(A:A,[3]Matriz!$E:$E,[3]Matriz!$GT:$GT)</f>
        <v>B - A4</v>
      </c>
      <c r="F237" s="1" t="str">
        <f>_xlfn.XLOOKUP(A:A,[3]Matriz!$E:$E,[3]Matriz!$J:$J)</f>
        <v>pablo.aravena@global.komatsu</v>
      </c>
    </row>
    <row r="238" spans="1:6" x14ac:dyDescent="0.35">
      <c r="A238" s="1" t="s">
        <v>522</v>
      </c>
      <c r="B238" s="1" t="s">
        <v>64</v>
      </c>
      <c r="C238" s="1" t="s">
        <v>615</v>
      </c>
      <c r="D238" s="1" t="s">
        <v>625</v>
      </c>
      <c r="E238" s="1" t="str">
        <f>_xlfn.XLOOKUP(A:A,[3]Matriz!$E:$E,[3]Matriz!$GT:$GT)</f>
        <v>B - D</v>
      </c>
      <c r="F238" s="1" t="str">
        <f>_xlfn.XLOOKUP(A:A,[3]Matriz!$E:$E,[3]Matriz!$J:$J)</f>
        <v>pablo.araya.r@global.komatsu</v>
      </c>
    </row>
    <row r="239" spans="1:6" x14ac:dyDescent="0.35">
      <c r="A239" s="1" t="s">
        <v>433</v>
      </c>
      <c r="B239" s="1" t="s">
        <v>65</v>
      </c>
      <c r="C239" s="1" t="s">
        <v>615</v>
      </c>
      <c r="D239" s="1" t="s">
        <v>624</v>
      </c>
      <c r="E239" s="1" t="str">
        <f>_xlfn.XLOOKUP(A:A,[3]Matriz!$E:$E,[3]Matriz!$GT:$GT)</f>
        <v>B</v>
      </c>
      <c r="F239" s="1" t="str">
        <f>_xlfn.XLOOKUP(A:A,[3]Matriz!$E:$E,[3]Matriz!$J:$J)</f>
        <v>pablo.michea@global.komatsu</v>
      </c>
    </row>
    <row r="240" spans="1:6" x14ac:dyDescent="0.35">
      <c r="A240" s="1" t="s">
        <v>546</v>
      </c>
      <c r="B240" s="1" t="s">
        <v>547</v>
      </c>
      <c r="C240" s="1" t="s">
        <v>615</v>
      </c>
      <c r="D240" s="1" t="s">
        <v>656</v>
      </c>
      <c r="E240" s="1" t="str">
        <f>_xlfn.XLOOKUP(A:A,[3]Matriz!$E:$E,[3]Matriz!$GT:$GT)</f>
        <v/>
      </c>
      <c r="F240" s="1" t="str">
        <f>_xlfn.XLOOKUP(A:A,[3]Matriz!$E:$E,[3]Matriz!$J:$J)</f>
        <v>pablo.vera.g@global.komatsu</v>
      </c>
    </row>
    <row r="241" spans="1:6" x14ac:dyDescent="0.35">
      <c r="A241" s="2" t="s">
        <v>273</v>
      </c>
      <c r="B241" s="1" t="s">
        <v>25</v>
      </c>
      <c r="C241" s="1" t="s">
        <v>615</v>
      </c>
      <c r="D241" s="1" t="s">
        <v>619</v>
      </c>
      <c r="E241" s="1" t="str">
        <f>_xlfn.XLOOKUP(A:A,[3]Matriz!$E:$E,[3]Matriz!$GT:$GT)</f>
        <v/>
      </c>
      <c r="F241" s="1" t="str">
        <f>_xlfn.XLOOKUP(A:A,[3]Matriz!$E:$E,[3]Matriz!$J:$J)</f>
        <v>patricio.aros.l@global.komatsu</v>
      </c>
    </row>
    <row r="242" spans="1:6" x14ac:dyDescent="0.35">
      <c r="A242" s="1" t="s">
        <v>445</v>
      </c>
      <c r="B242" s="1" t="s">
        <v>228</v>
      </c>
      <c r="C242" s="1" t="s">
        <v>615</v>
      </c>
      <c r="D242" s="1" t="s">
        <v>676</v>
      </c>
      <c r="E242" s="1" t="str">
        <f>_xlfn.XLOOKUP(A:A,[3]Matriz!$E:$E,[3]Matriz!$GT:$GT)</f>
        <v>B</v>
      </c>
      <c r="F242" s="1" t="str">
        <f>_xlfn.XLOOKUP(A:A,[3]Matriz!$E:$E,[3]Matriz!$J:$J)</f>
        <v>p.rojas@global.komatsu</v>
      </c>
    </row>
    <row r="243" spans="1:6" x14ac:dyDescent="0.35">
      <c r="A243" s="1" t="s">
        <v>510</v>
      </c>
      <c r="B243" s="1" t="s">
        <v>229</v>
      </c>
      <c r="C243" s="1" t="s">
        <v>615</v>
      </c>
      <c r="D243" s="1" t="s">
        <v>658</v>
      </c>
      <c r="E243" s="1" t="str">
        <f>_xlfn.XLOOKUP(A:A,[3]Matriz!$E:$E,[3]Matriz!$GT:$GT)</f>
        <v>B - D</v>
      </c>
      <c r="F243" s="1" t="str">
        <f>_xlfn.XLOOKUP(A:A,[3]Matriz!$E:$E,[3]Matriz!$J:$J)</f>
        <v>patricio.zegarra@global.komatsu</v>
      </c>
    </row>
    <row r="244" spans="1:6" x14ac:dyDescent="0.35">
      <c r="A244" s="1" t="s">
        <v>539</v>
      </c>
      <c r="B244" s="1" t="s">
        <v>190</v>
      </c>
      <c r="C244" s="1" t="s">
        <v>615</v>
      </c>
      <c r="D244" s="1" t="s">
        <v>681</v>
      </c>
      <c r="E244" s="1" t="str">
        <f>_xlfn.XLOOKUP(A:A,[3]Matriz!$E:$E,[3]Matriz!$GT:$GT)</f>
        <v>B - D - A4</v>
      </c>
      <c r="F244" s="1" t="str">
        <f>_xlfn.XLOOKUP(A:A,[3]Matriz!$E:$E,[3]Matriz!$J:$J)</f>
        <v>p.araneda@global.komatsu</v>
      </c>
    </row>
    <row r="245" spans="1:6" x14ac:dyDescent="0.35">
      <c r="A245" s="1" t="s">
        <v>257</v>
      </c>
      <c r="B245" s="1" t="s">
        <v>4</v>
      </c>
      <c r="C245" s="1" t="s">
        <v>615</v>
      </c>
      <c r="D245" s="1" t="s">
        <v>686</v>
      </c>
      <c r="E245" s="1" t="str">
        <f>_xlfn.XLOOKUP(A:A,[3]Matriz!$E:$E,[3]Matriz!$GT:$GT)</f>
        <v>B - D - A4</v>
      </c>
      <c r="F245" s="1" t="str">
        <f>_xlfn.XLOOKUP(A:A,[3]Matriz!$E:$E,[3]Matriz!$J:$J)</f>
        <v>pedro.araneda@global.komatsu</v>
      </c>
    </row>
    <row r="246" spans="1:6" x14ac:dyDescent="0.35">
      <c r="A246" s="1" t="s">
        <v>473</v>
      </c>
      <c r="B246" s="1" t="s">
        <v>230</v>
      </c>
      <c r="C246" s="1" t="s">
        <v>615</v>
      </c>
      <c r="D246" s="1" t="s">
        <v>623</v>
      </c>
      <c r="E246" s="1" t="str">
        <f>_xlfn.XLOOKUP(A:A,[3]Matriz!$E:$E,[3]Matriz!$GT:$GT)</f>
        <v>B</v>
      </c>
      <c r="F246" s="1" t="str">
        <f>_xlfn.XLOOKUP(A:A,[3]Matriz!$E:$E,[3]Matriz!$J:$J)</f>
        <v>pedro.araya@global.komatsu</v>
      </c>
    </row>
    <row r="247" spans="1:6" x14ac:dyDescent="0.35">
      <c r="A247" s="1" t="s">
        <v>575</v>
      </c>
      <c r="B247" s="1" t="s">
        <v>579</v>
      </c>
      <c r="C247" s="1" t="s">
        <v>615</v>
      </c>
      <c r="D247" s="1" t="s">
        <v>660</v>
      </c>
      <c r="E247" s="1" t="str">
        <f>_xlfn.XLOOKUP(A:A,[3]Matriz!$E:$E,[3]Matriz!$GT:$GT)</f>
        <v/>
      </c>
      <c r="F247" s="1" t="str">
        <f>_xlfn.XLOOKUP(A:A,[3]Matriz!$E:$E,[3]Matriz!$J:$J)</f>
        <v>pedro.caviedes.v@global.komatsu</v>
      </c>
    </row>
    <row r="248" spans="1:6" x14ac:dyDescent="0.35">
      <c r="A248" s="1" t="s">
        <v>321</v>
      </c>
      <c r="B248" s="1" t="s">
        <v>66</v>
      </c>
      <c r="C248" s="1" t="s">
        <v>615</v>
      </c>
      <c r="D248" s="1" t="s">
        <v>619</v>
      </c>
      <c r="E248" s="1" t="str">
        <f>_xlfn.XLOOKUP(A:A,[3]Matriz!$E:$E,[3]Matriz!$GT:$GT)</f>
        <v/>
      </c>
      <c r="F248" s="1" t="str">
        <f>_xlfn.XLOOKUP(A:A,[3]Matriz!$E:$E,[3]Matriz!$J:$J)</f>
        <v>pedro.escobar@global.komatsu</v>
      </c>
    </row>
    <row r="249" spans="1:6" x14ac:dyDescent="0.35">
      <c r="A249" s="1" t="s">
        <v>460</v>
      </c>
      <c r="B249" s="1" t="s">
        <v>231</v>
      </c>
      <c r="C249" s="1" t="s">
        <v>615</v>
      </c>
      <c r="D249" s="1" t="s">
        <v>632</v>
      </c>
      <c r="E249" s="1" t="str">
        <f>_xlfn.XLOOKUP(A:A,[3]Matriz!$E:$E,[3]Matriz!$GT:$GT)</f>
        <v>B</v>
      </c>
      <c r="F249" s="1" t="str">
        <f>_xlfn.XLOOKUP(A:A,[3]Matriz!$E:$E,[3]Matriz!$J:$J)</f>
        <v>pedro.jimenez@global.komatsu</v>
      </c>
    </row>
    <row r="250" spans="1:6" x14ac:dyDescent="0.35">
      <c r="A250" s="1" t="s">
        <v>388</v>
      </c>
      <c r="B250" s="1" t="s">
        <v>67</v>
      </c>
      <c r="C250" s="1" t="s">
        <v>615</v>
      </c>
      <c r="D250" s="1" t="s">
        <v>623</v>
      </c>
      <c r="E250" s="1" t="str">
        <f>_xlfn.XLOOKUP(A:A,[3]Matriz!$E:$E,[3]Matriz!$GT:$GT)</f>
        <v>B</v>
      </c>
      <c r="F250" s="1" t="str">
        <f>_xlfn.XLOOKUP(A:A,[3]Matriz!$E:$E,[3]Matriz!$J:$J)</f>
        <v>pedro.miranda@global.komatsu</v>
      </c>
    </row>
    <row r="251" spans="1:6" x14ac:dyDescent="0.35">
      <c r="A251" s="1" t="s">
        <v>396</v>
      </c>
      <c r="B251" s="1" t="s">
        <v>197</v>
      </c>
      <c r="C251" s="1" t="s">
        <v>615</v>
      </c>
      <c r="D251" s="1" t="s">
        <v>661</v>
      </c>
      <c r="E251" s="1" t="str">
        <f>_xlfn.XLOOKUP(A:A,[3]Matriz!$E:$E,[3]Matriz!$GT:$GT)</f>
        <v/>
      </c>
      <c r="F251" s="1" t="str">
        <f>_xlfn.XLOOKUP(A:A,[3]Matriz!$E:$E,[3]Matriz!$J:$J)</f>
        <v>pedro.ramirez@global.komatsu</v>
      </c>
    </row>
    <row r="252" spans="1:6" x14ac:dyDescent="0.35">
      <c r="A252" s="1" t="s">
        <v>403</v>
      </c>
      <c r="B252" s="1" t="s">
        <v>191</v>
      </c>
      <c r="C252" s="1" t="s">
        <v>615</v>
      </c>
      <c r="D252" s="1" t="s">
        <v>681</v>
      </c>
      <c r="E252" s="1" t="str">
        <f>_xlfn.XLOOKUP(A:A,[3]Matriz!$E:$E,[3]Matriz!$GT:$GT)</f>
        <v>B - D - A4</v>
      </c>
      <c r="F252" s="1" t="str">
        <f>_xlfn.XLOOKUP(A:A,[3]Matriz!$E:$E,[3]Matriz!$J:$J)</f>
        <v>ramiro.mamani@global.komatsu</v>
      </c>
    </row>
    <row r="253" spans="1:6" x14ac:dyDescent="0.35">
      <c r="A253" s="1" t="s">
        <v>406</v>
      </c>
      <c r="B253" s="1" t="s">
        <v>122</v>
      </c>
      <c r="C253" s="1" t="s">
        <v>615</v>
      </c>
      <c r="D253" s="1" t="s">
        <v>662</v>
      </c>
      <c r="E253" s="1" t="str">
        <f>_xlfn.XLOOKUP(A:A,[3]Matriz!$E:$E,[3]Matriz!$GT:$GT)</f>
        <v>B - D - A4</v>
      </c>
      <c r="F253" s="1" t="str">
        <f>_xlfn.XLOOKUP(A:A,[3]Matriz!$E:$E,[3]Matriz!$J:$J)</f>
        <v>ramon.canales@global.komatsu</v>
      </c>
    </row>
    <row r="254" spans="1:6" x14ac:dyDescent="0.35">
      <c r="A254" s="1" t="s">
        <v>500</v>
      </c>
      <c r="B254" s="1" t="s">
        <v>68</v>
      </c>
      <c r="C254" s="1" t="s">
        <v>615</v>
      </c>
      <c r="D254" s="1" t="s">
        <v>674</v>
      </c>
      <c r="E254" s="1" t="str">
        <f>_xlfn.XLOOKUP(A:A,[3]Matriz!$E:$E,[3]Matriz!$GT:$GT)</f>
        <v>B - D - A4</v>
      </c>
      <c r="F254" s="1" t="str">
        <f>_xlfn.XLOOKUP(A:A,[3]Matriz!$E:$E,[3]Matriz!$J:$J)</f>
        <v>ramon.rojas.v@global.komatsu</v>
      </c>
    </row>
    <row r="255" spans="1:6" x14ac:dyDescent="0.35">
      <c r="A255" s="1" t="s">
        <v>274</v>
      </c>
      <c r="B255" s="1" t="s">
        <v>1015</v>
      </c>
      <c r="C255" s="1" t="s">
        <v>615</v>
      </c>
      <c r="D255" s="1" t="s">
        <v>638</v>
      </c>
      <c r="E255" s="1" t="str">
        <f>_xlfn.XLOOKUP(A:A,[3]Matriz!$E:$E,[3]Matriz!$GT:$GT)</f>
        <v/>
      </c>
      <c r="F255" s="1" t="str">
        <f>_xlfn.XLOOKUP(A:A,[3]Matriz!$E:$E,[3]Matriz!$J:$J)</f>
        <v>raul.alquinta@global.komatsu</v>
      </c>
    </row>
    <row r="256" spans="1:6" x14ac:dyDescent="0.35">
      <c r="A256" s="1" t="s">
        <v>503</v>
      </c>
      <c r="B256" s="1" t="s">
        <v>232</v>
      </c>
      <c r="C256" s="1" t="s">
        <v>615</v>
      </c>
      <c r="D256" s="1" t="s">
        <v>626</v>
      </c>
      <c r="E256" s="1" t="str">
        <f>_xlfn.XLOOKUP(A:A,[3]Matriz!$E:$E,[3]Matriz!$GT:$GT)</f>
        <v>B - D - A4</v>
      </c>
      <c r="F256" s="1" t="str">
        <f>_xlfn.XLOOKUP(A:A,[3]Matriz!$E:$E,[3]Matriz!$J:$J)</f>
        <v>raul.lazcano.c@global.komatsu</v>
      </c>
    </row>
    <row r="257" spans="1:6" x14ac:dyDescent="0.35">
      <c r="A257" s="1" t="s">
        <v>353</v>
      </c>
      <c r="B257" s="1" t="s">
        <v>19</v>
      </c>
      <c r="C257" s="1" t="s">
        <v>615</v>
      </c>
      <c r="D257" s="1" t="s">
        <v>664</v>
      </c>
      <c r="E257" s="1" t="str">
        <f>_xlfn.XLOOKUP(A:A,[3]Matriz!$E:$E,[3]Matriz!$GT:$GT)</f>
        <v>B - D - A4</v>
      </c>
      <c r="F257" s="1" t="str">
        <f>_xlfn.XLOOKUP(A:A,[3]Matriz!$E:$E,[3]Matriz!$J:$J)</f>
        <v>rellco.ayca@global.komatsu</v>
      </c>
    </row>
    <row r="258" spans="1:6" x14ac:dyDescent="0.35">
      <c r="A258" s="1" t="s">
        <v>397</v>
      </c>
      <c r="B258" s="1" t="s">
        <v>398</v>
      </c>
      <c r="C258" s="1" t="s">
        <v>615</v>
      </c>
      <c r="D258" s="1" t="s">
        <v>619</v>
      </c>
      <c r="E258" s="1" t="str">
        <f>_xlfn.XLOOKUP(A:A,[3]Matriz!$E:$E,[3]Matriz!$GT:$GT)</f>
        <v/>
      </c>
      <c r="F258" s="1" t="str">
        <f>_xlfn.XLOOKUP(A:A,[3]Matriz!$E:$E,[3]Matriz!$J:$J)</f>
        <v>renato.espinoza.s@global.komatsu</v>
      </c>
    </row>
    <row r="259" spans="1:6" x14ac:dyDescent="0.35">
      <c r="A259" s="1" t="s">
        <v>311</v>
      </c>
      <c r="B259" s="1" t="s">
        <v>69</v>
      </c>
      <c r="C259" s="1" t="s">
        <v>615</v>
      </c>
      <c r="D259" s="1" t="s">
        <v>623</v>
      </c>
      <c r="E259" s="1" t="str">
        <f>_xlfn.XLOOKUP(A:A,[3]Matriz!$E:$E,[3]Matriz!$GT:$GT)</f>
        <v>B</v>
      </c>
      <c r="F259" s="1" t="str">
        <f>_xlfn.XLOOKUP(A:A,[3]Matriz!$E:$E,[3]Matriz!$J:$J)</f>
        <v>renzo.malagarriga@global.komatsu</v>
      </c>
    </row>
    <row r="260" spans="1:6" x14ac:dyDescent="0.35">
      <c r="A260" s="1" t="s">
        <v>395</v>
      </c>
      <c r="B260" s="1" t="s">
        <v>123</v>
      </c>
      <c r="C260" s="1" t="s">
        <v>615</v>
      </c>
      <c r="D260" s="1" t="s">
        <v>681</v>
      </c>
      <c r="E260" s="1" t="str">
        <f>_xlfn.XLOOKUP(A:A,[3]Matriz!$E:$E,[3]Matriz!$GT:$GT)</f>
        <v>B - A4</v>
      </c>
      <c r="F260" s="1" t="str">
        <f>_xlfn.XLOOKUP(A:A,[3]Matriz!$E:$E,[3]Matriz!$J:$J)</f>
        <v>ricardo.campillay@global.komatsu</v>
      </c>
    </row>
    <row r="261" spans="1:6" x14ac:dyDescent="0.35">
      <c r="A261" s="1" t="s">
        <v>297</v>
      </c>
      <c r="B261" s="1" t="s">
        <v>70</v>
      </c>
      <c r="C261" s="1" t="s">
        <v>615</v>
      </c>
      <c r="D261" s="1" t="s">
        <v>632</v>
      </c>
      <c r="E261" s="1" t="str">
        <f>_xlfn.XLOOKUP(A:A,[3]Matriz!$E:$E,[3]Matriz!$GT:$GT)</f>
        <v>B</v>
      </c>
      <c r="F261" s="1" t="str">
        <f>_xlfn.XLOOKUP(A:A,[3]Matriz!$E:$E,[3]Matriz!$J:$J)</f>
        <v>roberto.pasten@global.komatsu</v>
      </c>
    </row>
    <row r="262" spans="1:6" x14ac:dyDescent="0.35">
      <c r="A262" s="1" t="s">
        <v>258</v>
      </c>
      <c r="B262" s="1" t="s">
        <v>259</v>
      </c>
      <c r="C262" s="1" t="s">
        <v>615</v>
      </c>
      <c r="D262" s="1" t="s">
        <v>688</v>
      </c>
      <c r="E262" s="1" t="str">
        <f>_xlfn.XLOOKUP(A:A,[3]Matriz!$E:$E,[3]Matriz!$GT:$GT)</f>
        <v/>
      </c>
      <c r="F262" s="1" t="str">
        <f>_xlfn.XLOOKUP(A:A,[3]Matriz!$E:$E,[3]Matriz!$J:$J)</f>
        <v>rodrigo.acuna@global.komatsu</v>
      </c>
    </row>
    <row r="263" spans="1:6" x14ac:dyDescent="0.35">
      <c r="A263" s="3" t="s">
        <v>491</v>
      </c>
      <c r="B263" s="1" t="s">
        <v>192</v>
      </c>
      <c r="C263" s="1" t="s">
        <v>615</v>
      </c>
      <c r="D263" s="1" t="s">
        <v>623</v>
      </c>
      <c r="E263" s="1" t="str">
        <f>_xlfn.XLOOKUP(A:A,[3]Matriz!$E:$E,[3]Matriz!$GT:$GT)</f>
        <v>B - A4</v>
      </c>
      <c r="F263" s="1" t="str">
        <f>_xlfn.XLOOKUP(A:A,[3]Matriz!$E:$E,[3]Matriz!$J:$J)</f>
        <v>r.aranda@global.komatsu</v>
      </c>
    </row>
    <row r="264" spans="1:6" x14ac:dyDescent="0.35">
      <c r="A264" s="1" t="s">
        <v>303</v>
      </c>
      <c r="B264" s="1" t="s">
        <v>71</v>
      </c>
      <c r="C264" s="1" t="s">
        <v>615</v>
      </c>
      <c r="D264" s="1" t="s">
        <v>677</v>
      </c>
      <c r="E264" s="1" t="str">
        <f>_xlfn.XLOOKUP(A:A,[3]Matriz!$E:$E,[3]Matriz!$GT:$GT)</f>
        <v>B - D - A4</v>
      </c>
      <c r="F264" s="1" t="str">
        <f>_xlfn.XLOOKUP(A:A,[3]Matriz!$E:$E,[3]Matriz!$J:$J)</f>
        <v>rodrigo.cuisa@global.komatsu</v>
      </c>
    </row>
    <row r="265" spans="1:6" x14ac:dyDescent="0.35">
      <c r="A265" s="1" t="s">
        <v>484</v>
      </c>
      <c r="B265" s="1" t="s">
        <v>485</v>
      </c>
      <c r="C265" s="1" t="s">
        <v>615</v>
      </c>
      <c r="D265" s="1" t="s">
        <v>634</v>
      </c>
      <c r="E265" s="1" t="str">
        <f>_xlfn.XLOOKUP(A:A,[3]Matriz!$E:$E,[3]Matriz!$GT:$GT)</f>
        <v>B</v>
      </c>
      <c r="F265" s="1" t="str">
        <f>_xlfn.XLOOKUP(A:A,[3]Matriz!$E:$E,[3]Matriz!$J:$J)</f>
        <v>rodrigo.diaz@global.komatsu</v>
      </c>
    </row>
    <row r="266" spans="1:6" x14ac:dyDescent="0.35">
      <c r="A266" s="1" t="s">
        <v>276</v>
      </c>
      <c r="B266" s="1" t="s">
        <v>20</v>
      </c>
      <c r="C266" s="1" t="s">
        <v>615</v>
      </c>
      <c r="D266" s="1" t="s">
        <v>689</v>
      </c>
      <c r="E266" s="1" t="str">
        <f>_xlfn.XLOOKUP(A:A,[3]Matriz!$E:$E,[3]Matriz!$GT:$GT)</f>
        <v>B - D - A4</v>
      </c>
      <c r="F266" s="1" t="str">
        <f>_xlfn.XLOOKUP(A:A,[3]Matriz!$E:$E,[3]Matriz!$J:$J)</f>
        <v>rodrigo.linares@global.komatsu</v>
      </c>
    </row>
    <row r="267" spans="1:6" x14ac:dyDescent="0.35">
      <c r="A267" s="1" t="s">
        <v>260</v>
      </c>
      <c r="B267" s="1" t="s">
        <v>261</v>
      </c>
      <c r="C267" s="1" t="s">
        <v>615</v>
      </c>
      <c r="D267" s="1" t="s">
        <v>690</v>
      </c>
      <c r="E267" s="1" t="str">
        <f>_xlfn.XLOOKUP(A:A,[3]Matriz!$E:$E,[3]Matriz!$GT:$GT)</f>
        <v/>
      </c>
      <c r="F267" s="1" t="str">
        <f>_xlfn.XLOOKUP(A:A,[3]Matriz!$E:$E,[3]Matriz!$J:$J)</f>
        <v>r.rojas@global.komatsu</v>
      </c>
    </row>
    <row r="268" spans="1:6" x14ac:dyDescent="0.35">
      <c r="A268" s="1" t="s">
        <v>287</v>
      </c>
      <c r="B268" s="1" t="s">
        <v>72</v>
      </c>
      <c r="C268" s="1" t="s">
        <v>615</v>
      </c>
      <c r="D268" s="1" t="s">
        <v>653</v>
      </c>
      <c r="E268" s="1" t="str">
        <f>_xlfn.XLOOKUP(A:A,[3]Matriz!$E:$E,[3]Matriz!$GT:$GT)</f>
        <v>B - En proceso</v>
      </c>
      <c r="F268" s="1" t="str">
        <f>_xlfn.XLOOKUP(A:A,[3]Matriz!$E:$E,[3]Matriz!$J:$J)</f>
        <v>samuel.jofre@global.komatsu</v>
      </c>
    </row>
    <row r="269" spans="1:6" x14ac:dyDescent="0.35">
      <c r="A269" s="1" t="s">
        <v>400</v>
      </c>
      <c r="B269" s="4" t="s">
        <v>233</v>
      </c>
      <c r="C269" s="1" t="s">
        <v>615</v>
      </c>
      <c r="D269" s="1" t="s">
        <v>623</v>
      </c>
      <c r="E269" s="1" t="str">
        <f>_xlfn.XLOOKUP(A:A,[3]Matriz!$E:$E,[3]Matriz!$GT:$GT)</f>
        <v>B - D</v>
      </c>
      <c r="F269" s="1" t="str">
        <f>_xlfn.XLOOKUP(A:A,[3]Matriz!$E:$E,[3]Matriz!$J:$J)</f>
        <v>samuel.rivera@global.komatsu</v>
      </c>
    </row>
    <row r="270" spans="1:6" x14ac:dyDescent="0.35">
      <c r="A270" s="1" t="s">
        <v>587</v>
      </c>
      <c r="B270" s="1" t="s">
        <v>590</v>
      </c>
      <c r="C270" s="1" t="s">
        <v>615</v>
      </c>
      <c r="D270" s="1" t="s">
        <v>619</v>
      </c>
      <c r="E270" s="1" t="str">
        <f>_xlfn.XLOOKUP(A:A,[3]Matriz!$E:$E,[3]Matriz!$GT:$GT)</f>
        <v>B</v>
      </c>
      <c r="F270" s="1" t="str">
        <f>_xlfn.XLOOKUP(A:A,[3]Matriz!$E:$E,[3]Matriz!$J:$J)</f>
        <v>santiago.patino.a@global.komatsu</v>
      </c>
    </row>
    <row r="271" spans="1:6" x14ac:dyDescent="0.35">
      <c r="A271" s="1" t="s">
        <v>486</v>
      </c>
      <c r="B271" s="1" t="s">
        <v>234</v>
      </c>
      <c r="C271" s="1" t="s">
        <v>615</v>
      </c>
      <c r="D271" s="1" t="s">
        <v>623</v>
      </c>
      <c r="E271" s="1" t="str">
        <f>_xlfn.XLOOKUP(A:A,[3]Matriz!$E:$E,[3]Matriz!$GT:$GT)</f>
        <v>B - D</v>
      </c>
      <c r="F271" s="1" t="str">
        <f>_xlfn.XLOOKUP(A:A,[3]Matriz!$E:$E,[3]Matriz!$J:$J)</f>
        <v>scott.llewellyn@global.komatsu</v>
      </c>
    </row>
    <row r="272" spans="1:6" x14ac:dyDescent="0.35">
      <c r="A272" s="1" t="s">
        <v>1010</v>
      </c>
      <c r="B272" s="1" t="s">
        <v>607</v>
      </c>
      <c r="C272" s="1" t="s">
        <v>615</v>
      </c>
      <c r="D272" s="1" t="s">
        <v>695</v>
      </c>
      <c r="E272" s="1" t="str">
        <f>_xlfn.XLOOKUP(A:A,[3]Matriz!$E:$E,[3]Matriz!$GT:$GT)</f>
        <v/>
      </c>
      <c r="F272" s="1" t="str">
        <f>_xlfn.XLOOKUP(A:A,[3]Matriz!$E:$E,[3]Matriz!$J:$J)</f>
        <v>sebastian.caucota@global.komatsu</v>
      </c>
    </row>
    <row r="273" spans="1:6" x14ac:dyDescent="0.35">
      <c r="A273" s="1" t="s">
        <v>291</v>
      </c>
      <c r="B273" s="1" t="s">
        <v>235</v>
      </c>
      <c r="C273" s="1" t="s">
        <v>615</v>
      </c>
      <c r="D273" s="1" t="s">
        <v>653</v>
      </c>
      <c r="E273" s="1" t="str">
        <f>_xlfn.XLOOKUP(A:A,[3]Matriz!$E:$E,[3]Matriz!$GT:$GT)</f>
        <v/>
      </c>
      <c r="F273" s="1" t="str">
        <f>_xlfn.XLOOKUP(A:A,[3]Matriz!$E:$E,[3]Matriz!$J:$J)</f>
        <v>sebastian.diaz@global.komatsu</v>
      </c>
    </row>
    <row r="274" spans="1:6" x14ac:dyDescent="0.35">
      <c r="A274" s="1" t="s">
        <v>495</v>
      </c>
      <c r="B274" s="1" t="s">
        <v>193</v>
      </c>
      <c r="C274" s="1" t="s">
        <v>615</v>
      </c>
      <c r="D274" s="1" t="s">
        <v>641</v>
      </c>
      <c r="E274" s="1" t="str">
        <f>_xlfn.XLOOKUP(A:A,[3]Matriz!$E:$E,[3]Matriz!$GT:$GT)</f>
        <v>B</v>
      </c>
      <c r="F274" s="1" t="str">
        <f>_xlfn.XLOOKUP(A:A,[3]Matriz!$E:$E,[3]Matriz!$J:$J)</f>
        <v>sebastian.montalban@global.komatsu</v>
      </c>
    </row>
    <row r="275" spans="1:6" x14ac:dyDescent="0.35">
      <c r="A275" s="1" t="s">
        <v>564</v>
      </c>
      <c r="B275" s="1" t="s">
        <v>565</v>
      </c>
      <c r="C275" s="1" t="s">
        <v>615</v>
      </c>
      <c r="D275" s="1" t="s">
        <v>620</v>
      </c>
      <c r="E275" s="1" t="str">
        <f>_xlfn.XLOOKUP(A:A,[3]Matriz!$E:$E,[3]Matriz!$GT:$GT)</f>
        <v>B - D - A4</v>
      </c>
      <c r="F275" s="1" t="str">
        <f>_xlfn.XLOOKUP(A:A,[3]Matriz!$E:$E,[3]Matriz!$J:$J)</f>
        <v>sebastian.reygada.c@global.komatsu</v>
      </c>
    </row>
    <row r="276" spans="1:6" x14ac:dyDescent="0.35">
      <c r="A276" s="2" t="s">
        <v>277</v>
      </c>
      <c r="B276" s="1" t="s">
        <v>28</v>
      </c>
      <c r="C276" s="1" t="s">
        <v>615</v>
      </c>
      <c r="D276" s="1" t="s">
        <v>694</v>
      </c>
      <c r="E276" s="1" t="str">
        <f>_xlfn.XLOOKUP(A:A,[3]Matriz!$E:$E,[3]Matriz!$GT:$GT)</f>
        <v/>
      </c>
      <c r="F276" s="1" t="str">
        <f>_xlfn.XLOOKUP(A:A,[3]Matriz!$E:$E,[3]Matriz!$J:$J)</f>
        <v>s.salinas@global.komatsu</v>
      </c>
    </row>
    <row r="277" spans="1:6" x14ac:dyDescent="0.35">
      <c r="A277" s="1" t="s">
        <v>262</v>
      </c>
      <c r="B277" s="1" t="s">
        <v>5</v>
      </c>
      <c r="C277" s="1" t="s">
        <v>615</v>
      </c>
      <c r="D277" s="1" t="s">
        <v>619</v>
      </c>
      <c r="E277" s="1" t="str">
        <f>_xlfn.XLOOKUP(A:A,[3]Matriz!$E:$E,[3]Matriz!$GT:$GT)</f>
        <v/>
      </c>
      <c r="F277" s="1" t="str">
        <f>_xlfn.XLOOKUP(A:A,[3]Matriz!$E:$E,[3]Matriz!$J:$J)</f>
        <v>sebastian.soza@global.komatsu</v>
      </c>
    </row>
    <row r="278" spans="1:6" x14ac:dyDescent="0.35">
      <c r="A278" s="1" t="s">
        <v>344</v>
      </c>
      <c r="B278" s="1" t="s">
        <v>236</v>
      </c>
      <c r="C278" s="1" t="s">
        <v>615</v>
      </c>
      <c r="D278" s="1" t="s">
        <v>650</v>
      </c>
      <c r="E278" s="1" t="str">
        <f>_xlfn.XLOOKUP(A:A,[3]Matriz!$E:$E,[3]Matriz!$GT:$GT)</f>
        <v/>
      </c>
      <c r="F278" s="1" t="str">
        <f>_xlfn.XLOOKUP(A:A,[3]Matriz!$E:$E,[3]Matriz!$J:$J)</f>
        <v>sebastian.tarque@global.komatsu</v>
      </c>
    </row>
    <row r="279" spans="1:6" x14ac:dyDescent="0.35">
      <c r="A279" s="1" t="s">
        <v>295</v>
      </c>
      <c r="B279" s="1" t="s">
        <v>76</v>
      </c>
      <c r="C279" s="1" t="s">
        <v>615</v>
      </c>
      <c r="D279" s="1" t="s">
        <v>678</v>
      </c>
      <c r="E279" s="1" t="str">
        <f>_xlfn.XLOOKUP(A:A,[3]Matriz!$E:$E,[3]Matriz!$GT:$GT)</f>
        <v>B</v>
      </c>
      <c r="F279" s="1" t="str">
        <f>_xlfn.XLOOKUP(A:A,[3]Matriz!$E:$E,[3]Matriz!$J:$J)</f>
        <v>sebastian.valenzuela.c@global.komatsu</v>
      </c>
    </row>
    <row r="280" spans="1:6" x14ac:dyDescent="0.35">
      <c r="A280" s="1" t="s">
        <v>482</v>
      </c>
      <c r="B280" s="1" t="s">
        <v>483</v>
      </c>
      <c r="C280" s="1" t="s">
        <v>615</v>
      </c>
      <c r="D280" s="1" t="s">
        <v>634</v>
      </c>
      <c r="E280" s="1" t="str">
        <f>_xlfn.XLOOKUP(A:A,[3]Matriz!$E:$E,[3]Matriz!$GT:$GT)</f>
        <v>B</v>
      </c>
      <c r="F280" s="1" t="str">
        <f>_xlfn.XLOOKUP(A:A,[3]Matriz!$E:$E,[3]Matriz!$J:$J)</f>
        <v>sebastian.villela@global.komatsu</v>
      </c>
    </row>
    <row r="281" spans="1:6" x14ac:dyDescent="0.35">
      <c r="A281" s="2" t="s">
        <v>458</v>
      </c>
      <c r="B281" s="1" t="s">
        <v>124</v>
      </c>
      <c r="C281" s="1" t="s">
        <v>615</v>
      </c>
      <c r="D281" s="1" t="s">
        <v>623</v>
      </c>
      <c r="E281" s="1" t="str">
        <f>_xlfn.XLOOKUP(A:A,[3]Matriz!$E:$E,[3]Matriz!$GT:$GT)</f>
        <v/>
      </c>
      <c r="F281" s="1" t="str">
        <f>_xlfn.XLOOKUP(A:A,[3]Matriz!$E:$E,[3]Matriz!$J:$J)</f>
        <v>sergio.rojas@global.komatsu</v>
      </c>
    </row>
    <row r="282" spans="1:6" x14ac:dyDescent="0.35">
      <c r="A282" s="1" t="s">
        <v>556</v>
      </c>
      <c r="B282" s="1" t="s">
        <v>557</v>
      </c>
      <c r="C282" s="1" t="s">
        <v>615</v>
      </c>
      <c r="D282" s="1" t="s">
        <v>626</v>
      </c>
      <c r="E282" s="1" t="str">
        <f>_xlfn.XLOOKUP(A:A,[3]Matriz!$E:$E,[3]Matriz!$GT:$GT)</f>
        <v>B - D - A4</v>
      </c>
      <c r="F282" s="1" t="str">
        <f>_xlfn.XLOOKUP(A:A,[3]Matriz!$E:$E,[3]Matriz!$J:$J)</f>
        <v>sergio.zepeda.g@global.komatsu</v>
      </c>
    </row>
    <row r="283" spans="1:6" x14ac:dyDescent="0.35">
      <c r="A283" s="1" t="s">
        <v>447</v>
      </c>
      <c r="B283" s="1" t="s">
        <v>73</v>
      </c>
      <c r="C283" s="1" t="s">
        <v>615</v>
      </c>
      <c r="D283" s="1" t="s">
        <v>632</v>
      </c>
      <c r="E283" s="1" t="str">
        <f>_xlfn.XLOOKUP(A:A,[3]Matriz!$E:$E,[3]Matriz!$GT:$GT)</f>
        <v>B</v>
      </c>
      <c r="F283" s="1" t="str">
        <f>_xlfn.XLOOKUP(A:A,[3]Matriz!$E:$E,[3]Matriz!$J:$J)</f>
        <v>sherman.milla@global.komatsu</v>
      </c>
    </row>
    <row r="284" spans="1:6" x14ac:dyDescent="0.35">
      <c r="A284" s="1" t="s">
        <v>1012</v>
      </c>
      <c r="B284" s="1" t="s">
        <v>597</v>
      </c>
      <c r="C284" s="1" t="s">
        <v>616</v>
      </c>
      <c r="D284" s="1" t="s">
        <v>693</v>
      </c>
      <c r="E284" s="1" t="str">
        <f>_xlfn.XLOOKUP(A:A,[3]Matriz!$E:$E,[3]Matriz!$GT:$GT)</f>
        <v/>
      </c>
      <c r="F284" s="1" t="str">
        <f>_xlfn.XLOOKUP(A:A,[3]Matriz!$E:$E,[3]Matriz!$J:$J)</f>
        <v>solange.rore@global.komatsu</v>
      </c>
    </row>
    <row r="285" spans="1:6" x14ac:dyDescent="0.35">
      <c r="A285" s="1" t="s">
        <v>516</v>
      </c>
      <c r="B285" s="1" t="s">
        <v>125</v>
      </c>
      <c r="C285" s="1" t="s">
        <v>615</v>
      </c>
      <c r="D285" s="1" t="s">
        <v>641</v>
      </c>
      <c r="E285" s="1" t="str">
        <f>_xlfn.XLOOKUP(A:A,[3]Matriz!$E:$E,[3]Matriz!$GT:$GT)</f>
        <v>B - D - A4</v>
      </c>
      <c r="F285" s="1" t="str">
        <f>_xlfn.XLOOKUP(A:A,[3]Matriz!$E:$E,[3]Matriz!$J:$J)</f>
        <v>teodoro.lobera@global.komatsu</v>
      </c>
    </row>
    <row r="286" spans="1:6" x14ac:dyDescent="0.35">
      <c r="A286" s="1" t="s">
        <v>370</v>
      </c>
      <c r="B286" s="27" t="s">
        <v>1011</v>
      </c>
      <c r="C286" s="1" t="s">
        <v>615</v>
      </c>
      <c r="D286" s="1" t="s">
        <v>634</v>
      </c>
      <c r="E286" s="1" t="str">
        <f>_xlfn.XLOOKUP(A:A,[3]Matriz!$E:$E,[3]Matriz!$GT:$GT)</f>
        <v>B</v>
      </c>
      <c r="F286" s="1" t="str">
        <f>_xlfn.XLOOKUP(A:A,[3]Matriz!$E:$E,[3]Matriz!$J:$J)</f>
        <v>abel.solis.c@global.komatsu</v>
      </c>
    </row>
    <row r="287" spans="1:6" x14ac:dyDescent="0.35">
      <c r="A287" s="1" t="s">
        <v>588</v>
      </c>
      <c r="B287" s="1" t="s">
        <v>586</v>
      </c>
      <c r="C287" s="1" t="s">
        <v>615</v>
      </c>
      <c r="D287" s="1" t="s">
        <v>652</v>
      </c>
      <c r="E287" s="1" t="str">
        <f>_xlfn.XLOOKUP(A:A,[3]Matriz!$E:$E,[3]Matriz!$GT:$GT)</f>
        <v/>
      </c>
      <c r="F287" s="1" t="str">
        <f>_xlfn.XLOOKUP(A:A,[3]Matriz!$E:$E,[3]Matriz!$J:$J)</f>
        <v>valentina.castillo.c@global.komatsu</v>
      </c>
    </row>
    <row r="288" spans="1:6" x14ac:dyDescent="0.35">
      <c r="A288" s="1" t="s">
        <v>399</v>
      </c>
      <c r="B288" s="1" t="s">
        <v>144</v>
      </c>
      <c r="C288" s="1" t="s">
        <v>615</v>
      </c>
      <c r="D288" s="1" t="s">
        <v>619</v>
      </c>
      <c r="E288" s="1" t="str">
        <f>_xlfn.XLOOKUP(A:A,[3]Matriz!$E:$E,[3]Matriz!$GT:$GT)</f>
        <v/>
      </c>
      <c r="F288" s="1" t="str">
        <f>_xlfn.XLOOKUP(A:A,[3]Matriz!$E:$E,[3]Matriz!$J:$J)</f>
        <v>valeska.martinez.c@global.komatsu</v>
      </c>
    </row>
    <row r="289" spans="1:6" x14ac:dyDescent="0.35">
      <c r="A289" s="2" t="s">
        <v>278</v>
      </c>
      <c r="B289" s="1" t="s">
        <v>598</v>
      </c>
      <c r="C289" s="1" t="s">
        <v>615</v>
      </c>
      <c r="D289" s="1" t="s">
        <v>666</v>
      </c>
      <c r="E289" s="1" t="str">
        <f>_xlfn.XLOOKUP(A:A,[3]Matriz!$E:$E,[3]Matriz!$GT:$GT)</f>
        <v/>
      </c>
      <c r="F289" s="1" t="str">
        <f>_xlfn.XLOOKUP(A:A,[3]Matriz!$E:$E,[3]Matriz!$J:$J)</f>
        <v>victor.campillay@global.komatsu</v>
      </c>
    </row>
    <row r="290" spans="1:6" x14ac:dyDescent="0.35">
      <c r="A290" s="1" t="s">
        <v>279</v>
      </c>
      <c r="B290" s="1" t="s">
        <v>26</v>
      </c>
      <c r="C290" s="1" t="s">
        <v>615</v>
      </c>
      <c r="D290" s="1" t="s">
        <v>619</v>
      </c>
      <c r="E290" s="1" t="str">
        <f>_xlfn.XLOOKUP(A:A,[3]Matriz!$E:$E,[3]Matriz!$GT:$GT)</f>
        <v/>
      </c>
      <c r="F290" s="1" t="str">
        <f>_xlfn.XLOOKUP(A:A,[3]Matriz!$E:$E,[3]Matriz!$J:$J)</f>
        <v>victor.castillo.v@global.komatsu</v>
      </c>
    </row>
    <row r="291" spans="1:6" x14ac:dyDescent="0.35">
      <c r="A291" s="1" t="s">
        <v>360</v>
      </c>
      <c r="B291" s="1" t="s">
        <v>126</v>
      </c>
      <c r="C291" s="1" t="s">
        <v>615</v>
      </c>
      <c r="D291" s="1" t="s">
        <v>664</v>
      </c>
      <c r="E291" s="1" t="str">
        <f>_xlfn.XLOOKUP(A:A,[3]Matriz!$E:$E,[3]Matriz!$GT:$GT)</f>
        <v>B - D</v>
      </c>
      <c r="F291" s="1" t="str">
        <f>_xlfn.XLOOKUP(A:A,[3]Matriz!$E:$E,[3]Matriz!$J:$J)</f>
        <v>victor.ordenes@global.komatsu</v>
      </c>
    </row>
    <row r="292" spans="1:6" x14ac:dyDescent="0.35">
      <c r="A292" s="2" t="s">
        <v>439</v>
      </c>
      <c r="B292" s="1" t="s">
        <v>127</v>
      </c>
      <c r="C292" s="1" t="s">
        <v>615</v>
      </c>
      <c r="D292" s="1" t="s">
        <v>629</v>
      </c>
      <c r="E292" s="1" t="str">
        <f>_xlfn.XLOOKUP(A:A,[3]Matriz!$E:$E,[3]Matriz!$GT:$GT)</f>
        <v>B</v>
      </c>
      <c r="F292" s="1" t="str">
        <f>_xlfn.XLOOKUP(A:A,[3]Matriz!$E:$E,[3]Matriz!$J:$J)</f>
        <v>victor.orozco@global.komatsu</v>
      </c>
    </row>
    <row r="293" spans="1:6" x14ac:dyDescent="0.35">
      <c r="A293" s="1" t="s">
        <v>553</v>
      </c>
      <c r="B293" s="1" t="s">
        <v>554</v>
      </c>
      <c r="C293" s="1" t="s">
        <v>615</v>
      </c>
      <c r="D293" s="1" t="s">
        <v>627</v>
      </c>
      <c r="E293" s="1" t="str">
        <f>_xlfn.XLOOKUP(A:A,[3]Matriz!$E:$E,[3]Matriz!$GT:$GT)</f>
        <v>B - D</v>
      </c>
      <c r="F293" s="1" t="str">
        <f>_xlfn.XLOOKUP(A:A,[3]Matriz!$E:$E,[3]Matriz!$J:$J)</f>
        <v>victor.pena@global.komatsu</v>
      </c>
    </row>
    <row r="294" spans="1:6" x14ac:dyDescent="0.35">
      <c r="A294" s="1" t="s">
        <v>487</v>
      </c>
      <c r="B294" s="1" t="s">
        <v>488</v>
      </c>
      <c r="C294" s="1" t="s">
        <v>615</v>
      </c>
      <c r="D294" s="1" t="s">
        <v>634</v>
      </c>
      <c r="E294" s="1" t="str">
        <f>_xlfn.XLOOKUP(A:A,[3]Matriz!$E:$E,[3]Matriz!$GT:$GT)</f>
        <v>B</v>
      </c>
      <c r="F294" s="1" t="str">
        <f>_xlfn.XLOOKUP(A:A,[3]Matriz!$E:$E,[3]Matriz!$J:$J)</f>
        <v>victor.pizarro@global.komatsu</v>
      </c>
    </row>
    <row r="295" spans="1:6" x14ac:dyDescent="0.35">
      <c r="A295" s="1" t="s">
        <v>501</v>
      </c>
      <c r="B295" s="1" t="s">
        <v>74</v>
      </c>
      <c r="C295" s="1" t="s">
        <v>615</v>
      </c>
      <c r="D295" s="1" t="s">
        <v>623</v>
      </c>
      <c r="E295" s="1" t="str">
        <f>_xlfn.XLOOKUP(A:A,[3]Matriz!$E:$E,[3]Matriz!$GT:$GT)</f>
        <v>B - D</v>
      </c>
      <c r="F295" s="1" t="str">
        <f>_xlfn.XLOOKUP(A:A,[3]Matriz!$E:$E,[3]Matriz!$J:$J)</f>
        <v>victor.salas.c@global.komatsu</v>
      </c>
    </row>
    <row r="296" spans="1:6" x14ac:dyDescent="0.35">
      <c r="A296" s="2" t="s">
        <v>330</v>
      </c>
      <c r="B296" s="1" t="s">
        <v>21</v>
      </c>
      <c r="C296" s="1" t="s">
        <v>615</v>
      </c>
      <c r="D296" s="1" t="s">
        <v>629</v>
      </c>
      <c r="E296" s="1" t="str">
        <f>_xlfn.XLOOKUP(A:A,[3]Matriz!$E:$E,[3]Matriz!$GT:$GT)</f>
        <v>B</v>
      </c>
      <c r="F296" s="1" t="str">
        <f>_xlfn.XLOOKUP(A:A,[3]Matriz!$E:$E,[3]Matriz!$J:$J)</f>
        <v>vladimir.tapia.e@global.komatsu</v>
      </c>
    </row>
    <row r="297" spans="1:6" x14ac:dyDescent="0.35">
      <c r="A297" s="1" t="s">
        <v>358</v>
      </c>
      <c r="B297" s="1" t="s">
        <v>237</v>
      </c>
      <c r="C297" s="1" t="s">
        <v>615</v>
      </c>
      <c r="D297" s="1" t="s">
        <v>632</v>
      </c>
      <c r="E297" s="1" t="str">
        <f>_xlfn.XLOOKUP(A:A,[3]Matriz!$E:$E,[3]Matriz!$GT:$GT)</f>
        <v>B</v>
      </c>
      <c r="F297" s="1" t="str">
        <f>_xlfn.XLOOKUP(A:A,[3]Matriz!$E:$E,[3]Matriz!$J:$J)</f>
        <v>waldo.rivera@global.komatsu</v>
      </c>
    </row>
    <row r="298" spans="1:6" x14ac:dyDescent="0.35">
      <c r="A298" s="1" t="s">
        <v>402</v>
      </c>
      <c r="B298" s="1" t="s">
        <v>548</v>
      </c>
      <c r="C298" s="1" t="s">
        <v>615</v>
      </c>
      <c r="D298" s="1" t="s">
        <v>629</v>
      </c>
      <c r="E298" s="1" t="str">
        <f>_xlfn.XLOOKUP(A:A,[3]Matriz!$E:$E,[3]Matriz!$GT:$GT)</f>
        <v>B</v>
      </c>
      <c r="F298" s="1" t="str">
        <f>_xlfn.XLOOKUP(A:A,[3]Matriz!$E:$E,[3]Matriz!$J:$J)</f>
        <v>w.cortes@global.komatsu</v>
      </c>
    </row>
    <row r="299" spans="1:6" x14ac:dyDescent="0.35">
      <c r="A299" s="1" t="s">
        <v>505</v>
      </c>
      <c r="B299" s="1" t="s">
        <v>238</v>
      </c>
      <c r="C299" s="1" t="s">
        <v>615</v>
      </c>
      <c r="D299" s="1" t="s">
        <v>619</v>
      </c>
      <c r="E299" s="1" t="str">
        <f>_xlfn.XLOOKUP(A:A,[3]Matriz!$E:$E,[3]Matriz!$GT:$GT)</f>
        <v>B - D - A4</v>
      </c>
      <c r="F299" s="1" t="str">
        <f>_xlfn.XLOOKUP(A:A,[3]Matriz!$E:$E,[3]Matriz!$J:$J)</f>
        <v>yanela.soto@global.komatsu</v>
      </c>
    </row>
    <row r="300" spans="1:6" x14ac:dyDescent="0.35">
      <c r="A300" s="1" t="s">
        <v>310</v>
      </c>
      <c r="B300" s="1" t="s">
        <v>75</v>
      </c>
      <c r="C300" s="1" t="s">
        <v>615</v>
      </c>
      <c r="D300" s="1" t="s">
        <v>665</v>
      </c>
      <c r="E300" s="1" t="str">
        <f>_xlfn.XLOOKUP(A:A,[3]Matriz!$E:$E,[3]Matriz!$GT:$GT)</f>
        <v>B - D</v>
      </c>
      <c r="F300" s="1" t="str">
        <f>_xlfn.XLOOKUP(A:A,[3]Matriz!$E:$E,[3]Matriz!$J:$J)</f>
        <v>yerko.arias@global.komatsu</v>
      </c>
    </row>
    <row r="301" spans="1:6" x14ac:dyDescent="0.35">
      <c r="A301" s="1" t="s">
        <v>401</v>
      </c>
      <c r="B301" s="1" t="s">
        <v>141</v>
      </c>
      <c r="C301" s="1" t="s">
        <v>615</v>
      </c>
      <c r="D301" s="1" t="s">
        <v>675</v>
      </c>
      <c r="E301" s="1" t="str">
        <f>_xlfn.XLOOKUP(A:A,[3]Matriz!$E:$E,[3]Matriz!$GT:$GT)</f>
        <v>B</v>
      </c>
      <c r="F301" s="1" t="str">
        <f>_xlfn.XLOOKUP(A:A,[3]Matriz!$E:$E,[3]Matriz!$J:$J)</f>
        <v>yerko.cardenas@global.komatsu</v>
      </c>
    </row>
    <row r="302" spans="1:6" x14ac:dyDescent="0.35">
      <c r="A302" s="1" t="s">
        <v>577</v>
      </c>
      <c r="B302" s="11" t="s">
        <v>241</v>
      </c>
      <c r="C302" s="1" t="s">
        <v>615</v>
      </c>
      <c r="D302" s="1" t="s">
        <v>669</v>
      </c>
      <c r="E302" s="1" t="str">
        <f>_xlfn.XLOOKUP(A:A,[3]Matriz!$E:$E,[3]Matriz!$GT:$GT)</f>
        <v/>
      </c>
      <c r="F302" s="1" t="str">
        <f>_xlfn.XLOOKUP(A:A,[3]Matriz!$E:$E,[3]Matriz!$J:$J)</f>
        <v>yesenia.montoya@global.komatsu</v>
      </c>
    </row>
    <row r="303" spans="1:6" x14ac:dyDescent="0.35">
      <c r="A303" s="1" t="s">
        <v>594</v>
      </c>
      <c r="B303" s="1" t="s">
        <v>595</v>
      </c>
      <c r="C303" s="1" t="s">
        <v>615</v>
      </c>
      <c r="D303" s="1" t="s">
        <v>693</v>
      </c>
      <c r="E303" s="1" t="str">
        <f>_xlfn.XLOOKUP(A:A,[3]Matriz!$E:$E,[3]Matriz!$GT:$GT)</f>
        <v/>
      </c>
      <c r="F303" s="1" t="str">
        <f>_xlfn.XLOOKUP(A:A,[3]Matriz!$E:$E,[3]Matriz!$J:$J)</f>
        <v>yisel.farias@global.komatsu</v>
      </c>
    </row>
    <row r="304" spans="1:6" x14ac:dyDescent="0.35">
      <c r="A304" s="1" t="s">
        <v>354</v>
      </c>
      <c r="B304" s="1" t="s">
        <v>22</v>
      </c>
      <c r="C304" s="1" t="s">
        <v>615</v>
      </c>
      <c r="D304" s="1" t="s">
        <v>653</v>
      </c>
      <c r="E304" s="1" t="str">
        <f>_xlfn.XLOOKUP(A:A,[3]Matriz!$E:$E,[3]Matriz!$GT:$GT)</f>
        <v/>
      </c>
      <c r="F304" s="1" t="str">
        <f>_xlfn.XLOOKUP(A:A,[3]Matriz!$E:$E,[3]Matriz!$J:$J)</f>
        <v>yordan.saires@global.komatsu</v>
      </c>
    </row>
    <row r="305" spans="1:6" x14ac:dyDescent="0.35">
      <c r="A305" s="1" t="s">
        <v>332</v>
      </c>
      <c r="B305" s="1" t="s">
        <v>194</v>
      </c>
      <c r="C305" s="1" t="s">
        <v>615</v>
      </c>
      <c r="D305" s="1" t="s">
        <v>623</v>
      </c>
      <c r="E305" s="1" t="str">
        <f>_xlfn.XLOOKUP(A:A,[3]Matriz!$E:$E,[3]Matriz!$GT:$GT)</f>
        <v/>
      </c>
      <c r="F305" s="1" t="str">
        <f>_xlfn.XLOOKUP(A:A,[3]Matriz!$E:$E,[3]Matriz!$J:$J)</f>
        <v>yulian.flores@global.komatsu</v>
      </c>
    </row>
    <row r="306" spans="1:6" x14ac:dyDescent="0.35">
      <c r="A306" s="1" t="s">
        <v>375</v>
      </c>
      <c r="B306" s="4" t="s">
        <v>195</v>
      </c>
      <c r="C306" s="1" t="s">
        <v>615</v>
      </c>
      <c r="D306" s="1" t="s">
        <v>632</v>
      </c>
      <c r="E306" s="1" t="str">
        <f>_xlfn.XLOOKUP(A:A,[3]Matriz!$E:$E,[3]Matriz!$GT:$GT)</f>
        <v>B</v>
      </c>
      <c r="F306" s="1" t="str">
        <f>_xlfn.XLOOKUP(A:A,[3]Matriz!$E:$E,[3]Matriz!$J:$J)</f>
        <v>zakk.elizalde@global.komatsu</v>
      </c>
    </row>
  </sheetData>
  <autoFilter ref="A1:E306" xr:uid="{CD1D208D-FA9D-4051-A627-EA51AE278008}">
    <sortState xmlns:xlrd2="http://schemas.microsoft.com/office/spreadsheetml/2017/richdata2" ref="A2:E306">
      <sortCondition ref="B1:B306"/>
    </sortState>
  </autoFilter>
  <conditionalFormatting sqref="A1:A306">
    <cfRule type="duplicateValues" dxfId="1" priority="2"/>
  </conditionalFormatting>
  <hyperlinks>
    <hyperlink ref="B286" r:id="rId1" display="abel.solis.c@global.komatsu" xr:uid="{B29C50E7-BFB6-44C0-838E-79E1F8541E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A2A6-1210-4B2D-8593-0EC85D5A53AC}">
  <dimension ref="A1:K306"/>
  <sheetViews>
    <sheetView topLeftCell="B1" workbookViewId="0">
      <selection activeCell="G4" sqref="G4"/>
    </sheetView>
  </sheetViews>
  <sheetFormatPr baseColWidth="10" defaultRowHeight="14.5" x14ac:dyDescent="0.35"/>
  <cols>
    <col min="1" max="1" width="8.36328125" bestFit="1" customWidth="1"/>
    <col min="2" max="2" width="23.54296875" bestFit="1" customWidth="1"/>
    <col min="3" max="3" width="23.54296875" customWidth="1"/>
    <col min="4" max="4" width="13.81640625" style="23" customWidth="1"/>
    <col min="5" max="5" width="21" style="23" bestFit="1" customWidth="1"/>
    <col min="6" max="6" width="24.90625" style="23" bestFit="1" customWidth="1"/>
    <col min="9" max="9" width="10.90625" style="23"/>
  </cols>
  <sheetData>
    <row r="1" spans="1:11" ht="31.5" x14ac:dyDescent="0.35">
      <c r="A1" s="17" t="s">
        <v>610</v>
      </c>
      <c r="B1" s="18" t="s">
        <v>0</v>
      </c>
      <c r="C1" s="18" t="s">
        <v>701</v>
      </c>
      <c r="D1" s="20" t="s">
        <v>698</v>
      </c>
      <c r="E1" s="20" t="s">
        <v>699</v>
      </c>
      <c r="F1" s="24" t="s">
        <v>700</v>
      </c>
      <c r="G1" s="24" t="s">
        <v>1007</v>
      </c>
      <c r="H1" s="24" t="s">
        <v>1008</v>
      </c>
      <c r="I1" s="24" t="s">
        <v>1009</v>
      </c>
      <c r="J1" s="24" t="s">
        <v>1013</v>
      </c>
      <c r="K1" s="24" t="s">
        <v>1014</v>
      </c>
    </row>
    <row r="2" spans="1:11" x14ac:dyDescent="0.35">
      <c r="A2" s="12" t="s">
        <v>376</v>
      </c>
      <c r="B2" s="1" t="s">
        <v>131</v>
      </c>
      <c r="C2" s="1" t="s">
        <v>702</v>
      </c>
      <c r="D2" s="21">
        <f>_xlfn.XLOOKUP(C:C,'[1]Reporte Flexible de Personas - '!$B:$B,'[1]Reporte Flexible de Personas - '!$E:$E)</f>
        <v>47557</v>
      </c>
      <c r="E2" s="21">
        <f>_xlfn.XLOOKUP(C:C,'[1]Reporte Flexible de Personas - '!$B:$B,'[1]Reporte Flexible de Personas - '!$G:$G)</f>
        <v>46453</v>
      </c>
      <c r="F2" s="25">
        <f>_xlfn.XLOOKUP(C:C,'[1]Reporte Flexible de Personas - '!$B:$B,'[1]Reporte Flexible de Personas - '!$I:$I)</f>
        <v>47003</v>
      </c>
      <c r="G2" s="23">
        <f>_xlfn.XLOOKUP(C:C,[2]Planilla!$C:$C,[2]Planilla!$H:$H)</f>
        <v>47192</v>
      </c>
      <c r="H2" s="23">
        <f>_xlfn.XLOOKUP(C:C,[2]Planilla!$C:$C,[2]Planilla!$I:$I)</f>
        <v>46540</v>
      </c>
      <c r="I2" s="23">
        <f>_xlfn.XLOOKUP(C:C,[2]Planilla!$C:$C,[2]Planilla!$J:$J)</f>
        <v>47187</v>
      </c>
      <c r="J2" s="23">
        <f>_xlfn.XLOOKUP(A:A,[3]Matriz!$E:$E,[3]Matriz!$FD:$FD)</f>
        <v>0</v>
      </c>
      <c r="K2" s="23">
        <f>_xlfn.XLOOKUP(A:A,[3]Matriz!$E:$E,[3]Matriz!$FF:$FF)</f>
        <v>0</v>
      </c>
    </row>
    <row r="3" spans="1:11" x14ac:dyDescent="0.35">
      <c r="A3" s="12" t="s">
        <v>582</v>
      </c>
      <c r="B3" s="1" t="s">
        <v>583</v>
      </c>
      <c r="C3" s="1" t="s">
        <v>703</v>
      </c>
      <c r="D3" s="21" t="e">
        <f>_xlfn.XLOOKUP(C:C,'[1]Reporte Flexible de Personas - '!$B:$B,'[1]Reporte Flexible de Personas - '!$E:$E)</f>
        <v>#N/A</v>
      </c>
      <c r="E3" s="21" t="e">
        <f>_xlfn.XLOOKUP(C:C,'[1]Reporte Flexible de Personas - '!$B:$B,'[1]Reporte Flexible de Personas - '!$G:$G)</f>
        <v>#N/A</v>
      </c>
      <c r="F3" s="25" t="e">
        <f>_xlfn.XLOOKUP(C:C,'[1]Reporte Flexible de Personas - '!$B:$B,'[1]Reporte Flexible de Personas - '!$I:$I)</f>
        <v>#N/A</v>
      </c>
      <c r="G3" s="23" t="e">
        <f>_xlfn.XLOOKUP(C:C,[2]Planilla!$C:$C,[2]Planilla!$H:$H)</f>
        <v>#N/A</v>
      </c>
      <c r="H3" s="23" t="e">
        <f>_xlfn.XLOOKUP(C:C,[2]Planilla!$C:$C,[2]Planilla!$I:$I)</f>
        <v>#N/A</v>
      </c>
      <c r="I3" s="23" t="e">
        <f>_xlfn.XLOOKUP(C:C,[2]Planilla!$C:$C,[2]Planilla!$J:$J)</f>
        <v>#N/A</v>
      </c>
      <c r="J3" s="23">
        <f>_xlfn.XLOOKUP(A:A,[3]Matriz!$E:$E,[3]Matriz!$FD:$FD)</f>
        <v>0</v>
      </c>
      <c r="K3" s="23">
        <f>_xlfn.XLOOKUP(A:A,[3]Matriz!$E:$E,[3]Matriz!$FF:$FF)</f>
        <v>0</v>
      </c>
    </row>
    <row r="4" spans="1:11" x14ac:dyDescent="0.35">
      <c r="A4" s="12" t="s">
        <v>592</v>
      </c>
      <c r="B4" s="1" t="s">
        <v>593</v>
      </c>
      <c r="C4" s="1" t="s">
        <v>704</v>
      </c>
      <c r="D4" s="21" t="e">
        <f>_xlfn.XLOOKUP(C:C,'[1]Reporte Flexible de Personas - '!$B:$B,'[1]Reporte Flexible de Personas - '!$E:$E)</f>
        <v>#N/A</v>
      </c>
      <c r="E4" s="21" t="e">
        <f>_xlfn.XLOOKUP(C:C,'[1]Reporte Flexible de Personas - '!$B:$B,'[1]Reporte Flexible de Personas - '!$G:$G)</f>
        <v>#N/A</v>
      </c>
      <c r="F4" s="25" t="e">
        <f>_xlfn.XLOOKUP(C:C,'[1]Reporte Flexible de Personas - '!$B:$B,'[1]Reporte Flexible de Personas - '!$I:$I)</f>
        <v>#N/A</v>
      </c>
      <c r="G4" s="23" t="e">
        <f>_xlfn.XLOOKUP(C:C,[2]Planilla!$C:$C,[2]Planilla!$H:$H)</f>
        <v>#N/A</v>
      </c>
      <c r="H4" s="23" t="e">
        <f>_xlfn.XLOOKUP(C:C,[2]Planilla!$C:$C,[2]Planilla!$I:$I)</f>
        <v>#N/A</v>
      </c>
      <c r="I4" s="23" t="e">
        <f>_xlfn.XLOOKUP(C:C,[2]Planilla!$C:$C,[2]Planilla!$J:$J)</f>
        <v>#N/A</v>
      </c>
      <c r="J4" s="23">
        <f>_xlfn.XLOOKUP(A:A,[3]Matriz!$E:$E,[3]Matriz!$FD:$FD)</f>
        <v>0</v>
      </c>
      <c r="K4" s="23">
        <f>_xlfn.XLOOKUP(A:A,[3]Matriz!$E:$E,[3]Matriz!$FF:$FF)</f>
        <v>0</v>
      </c>
    </row>
    <row r="5" spans="1:11" x14ac:dyDescent="0.35">
      <c r="A5" s="12" t="s">
        <v>446</v>
      </c>
      <c r="B5" s="1" t="s">
        <v>697</v>
      </c>
      <c r="C5" s="1" t="s">
        <v>705</v>
      </c>
      <c r="D5" s="21">
        <f>_xlfn.XLOOKUP(C:C,'[1]Reporte Flexible de Personas - '!$B:$B,'[1]Reporte Flexible de Personas - '!$E:$E)</f>
        <v>48853</v>
      </c>
      <c r="E5" s="21">
        <f>_xlfn.XLOOKUP(C:C,'[1]Reporte Flexible de Personas - '!$B:$B,'[1]Reporte Flexible de Personas - '!$G:$G)</f>
        <v>47194</v>
      </c>
      <c r="F5" s="25">
        <f>_xlfn.XLOOKUP(C:C,'[1]Reporte Flexible de Personas - '!$B:$B,'[1]Reporte Flexible de Personas - '!$I:$I)</f>
        <v>46279</v>
      </c>
      <c r="G5" s="23" t="e">
        <f>_xlfn.XLOOKUP(C:C,[2]Planilla!$C:$C,[2]Planilla!$H:$H)</f>
        <v>#N/A</v>
      </c>
      <c r="H5" s="23" t="e">
        <f>_xlfn.XLOOKUP(C:C,[2]Planilla!$C:$C,[2]Planilla!$I:$I)</f>
        <v>#N/A</v>
      </c>
      <c r="I5" s="23" t="e">
        <f>_xlfn.XLOOKUP(C:C,[2]Planilla!$C:$C,[2]Planilla!$J:$J)</f>
        <v>#N/A</v>
      </c>
      <c r="J5" s="23">
        <f>_xlfn.XLOOKUP(A:A,[3]Matriz!$E:$E,[3]Matriz!$FD:$FD)</f>
        <v>0</v>
      </c>
      <c r="K5" s="23">
        <f>_xlfn.XLOOKUP(A:A,[3]Matriz!$E:$E,[3]Matriz!$FF:$FF)</f>
        <v>0</v>
      </c>
    </row>
    <row r="6" spans="1:11" x14ac:dyDescent="0.35">
      <c r="A6" s="12" t="s">
        <v>576</v>
      </c>
      <c r="B6" s="1" t="s">
        <v>566</v>
      </c>
      <c r="C6" s="1" t="s">
        <v>706</v>
      </c>
      <c r="D6" s="21" t="e">
        <f>_xlfn.XLOOKUP(C:C,'[1]Reporte Flexible de Personas - '!$B:$B,'[1]Reporte Flexible de Personas - '!$E:$E)</f>
        <v>#N/A</v>
      </c>
      <c r="E6" s="21" t="e">
        <f>_xlfn.XLOOKUP(C:C,'[1]Reporte Flexible de Personas - '!$B:$B,'[1]Reporte Flexible de Personas - '!$G:$G)</f>
        <v>#N/A</v>
      </c>
      <c r="F6" s="25" t="e">
        <f>_xlfn.XLOOKUP(C:C,'[1]Reporte Flexible de Personas - '!$B:$B,'[1]Reporte Flexible de Personas - '!$I:$I)</f>
        <v>#N/A</v>
      </c>
      <c r="G6" s="23" t="e">
        <f>_xlfn.XLOOKUP(C:C,[2]Planilla!$C:$C,[2]Planilla!$H:$H)</f>
        <v>#N/A</v>
      </c>
      <c r="H6" s="23" t="e">
        <f>_xlfn.XLOOKUP(C:C,[2]Planilla!$C:$C,[2]Planilla!$I:$I)</f>
        <v>#N/A</v>
      </c>
      <c r="I6" s="23" t="e">
        <f>_xlfn.XLOOKUP(C:C,[2]Planilla!$C:$C,[2]Planilla!$J:$J)</f>
        <v>#N/A</v>
      </c>
      <c r="J6" s="23">
        <f>_xlfn.XLOOKUP(A:A,[3]Matriz!$E:$E,[3]Matriz!$FD:$FD)</f>
        <v>0</v>
      </c>
      <c r="K6" s="23">
        <f>_xlfn.XLOOKUP(A:A,[3]Matriz!$E:$E,[3]Matriz!$FF:$FF)</f>
        <v>0</v>
      </c>
    </row>
    <row r="7" spans="1:11" x14ac:dyDescent="0.35">
      <c r="A7" s="12" t="s">
        <v>315</v>
      </c>
      <c r="B7" s="1" t="s">
        <v>30</v>
      </c>
      <c r="C7" s="1" t="s">
        <v>707</v>
      </c>
      <c r="D7" s="21">
        <f>_xlfn.XLOOKUP(C:C,'[1]Reporte Flexible de Personas - '!$B:$B,'[1]Reporte Flexible de Personas - '!$E:$E)</f>
        <v>48969</v>
      </c>
      <c r="E7" s="21">
        <f>_xlfn.XLOOKUP(C:C,'[1]Reporte Flexible de Personas - '!$B:$B,'[1]Reporte Flexible de Personas - '!$G:$G)</f>
        <v>46241</v>
      </c>
      <c r="F7" s="25">
        <f>_xlfn.XLOOKUP(C:C,'[1]Reporte Flexible de Personas - '!$B:$B,'[1]Reporte Flexible de Personas - '!$I:$I)</f>
        <v>47088</v>
      </c>
      <c r="G7" s="23" t="e">
        <f>_xlfn.XLOOKUP(C:C,[2]Planilla!$C:$C,[2]Planilla!$H:$H)</f>
        <v>#N/A</v>
      </c>
      <c r="H7" s="23" t="e">
        <f>_xlfn.XLOOKUP(C:C,[2]Planilla!$C:$C,[2]Planilla!$I:$I)</f>
        <v>#N/A</v>
      </c>
      <c r="I7" s="23" t="e">
        <f>_xlfn.XLOOKUP(C:C,[2]Planilla!$C:$C,[2]Planilla!$J:$J)</f>
        <v>#N/A</v>
      </c>
      <c r="J7" s="23">
        <f>_xlfn.XLOOKUP(A:A,[3]Matriz!$E:$E,[3]Matriz!$FD:$FD)</f>
        <v>0</v>
      </c>
      <c r="K7" s="23">
        <f>_xlfn.XLOOKUP(A:A,[3]Matriz!$E:$E,[3]Matriz!$FF:$FF)</f>
        <v>0</v>
      </c>
    </row>
    <row r="8" spans="1:11" x14ac:dyDescent="0.35">
      <c r="A8" s="12" t="s">
        <v>448</v>
      </c>
      <c r="B8" s="4" t="s">
        <v>132</v>
      </c>
      <c r="C8" s="4" t="s">
        <v>708</v>
      </c>
      <c r="D8" s="21">
        <f>_xlfn.XLOOKUP(C:C,'[1]Reporte Flexible de Personas - '!$B:$B,'[1]Reporte Flexible de Personas - '!$E:$E)</f>
        <v>47927</v>
      </c>
      <c r="E8" s="21">
        <f>_xlfn.XLOOKUP(C:C,'[1]Reporte Flexible de Personas - '!$B:$B,'[1]Reporte Flexible de Personas - '!$G:$G)</f>
        <v>46764</v>
      </c>
      <c r="F8" s="25">
        <f>_xlfn.XLOOKUP(C:C,'[1]Reporte Flexible de Personas - '!$B:$B,'[1]Reporte Flexible de Personas - '!$I:$I)</f>
        <v>47236</v>
      </c>
      <c r="G8" s="23">
        <f>_xlfn.XLOOKUP(C:C,[2]Planilla!$C:$C,[2]Planilla!$H:$H)</f>
        <v>46466</v>
      </c>
      <c r="H8" s="23">
        <f>_xlfn.XLOOKUP(C:C,[2]Planilla!$C:$C,[2]Planilla!$I:$I)</f>
        <v>46466</v>
      </c>
      <c r="I8" s="23">
        <f>_xlfn.XLOOKUP(C:C,[2]Planilla!$C:$C,[2]Planilla!$J:$J)</f>
        <v>46464</v>
      </c>
      <c r="J8" s="23">
        <f>_xlfn.XLOOKUP(A:A,[3]Matriz!$E:$E,[3]Matriz!$FD:$FD)</f>
        <v>0</v>
      </c>
      <c r="K8" s="23">
        <f>_xlfn.XLOOKUP(A:A,[3]Matriz!$E:$E,[3]Matriz!$FF:$FF)</f>
        <v>0</v>
      </c>
    </row>
    <row r="9" spans="1:11" x14ac:dyDescent="0.35">
      <c r="A9" s="13" t="s">
        <v>525</v>
      </c>
      <c r="B9" s="1" t="s">
        <v>147</v>
      </c>
      <c r="C9" s="1" t="s">
        <v>709</v>
      </c>
      <c r="D9" s="21">
        <f>_xlfn.XLOOKUP(C:C,'[1]Reporte Flexible de Personas - '!$B:$B,'[1]Reporte Flexible de Personas - '!$E:$E)</f>
        <v>47816</v>
      </c>
      <c r="E9" s="21">
        <f>_xlfn.XLOOKUP(C:C,'[1]Reporte Flexible de Personas - '!$B:$B,'[1]Reporte Flexible de Personas - '!$G:$G)</f>
        <v>46436</v>
      </c>
      <c r="F9" s="25">
        <f>_xlfn.XLOOKUP(C:C,'[1]Reporte Flexible de Personas - '!$B:$B,'[1]Reporte Flexible de Personas - '!$I:$I)</f>
        <v>47191</v>
      </c>
      <c r="G9" s="23">
        <f>_xlfn.XLOOKUP(C:C,[2]Planilla!$C:$C,[2]Planilla!$H:$H)</f>
        <v>47451</v>
      </c>
      <c r="H9" s="23">
        <f>_xlfn.XLOOKUP(C:C,[2]Planilla!$C:$C,[2]Planilla!$I:$I)</f>
        <v>46433</v>
      </c>
      <c r="I9" s="23">
        <f>_xlfn.XLOOKUP(C:C,[2]Planilla!$C:$C,[2]Planilla!$J:$J)</f>
        <v>46492</v>
      </c>
      <c r="J9" s="23">
        <f>_xlfn.XLOOKUP(A:A,[3]Matriz!$E:$E,[3]Matriz!$FD:$FD)</f>
        <v>0</v>
      </c>
      <c r="K9" s="23">
        <f>_xlfn.XLOOKUP(A:A,[3]Matriz!$E:$E,[3]Matriz!$FF:$FF)</f>
        <v>46388</v>
      </c>
    </row>
    <row r="10" spans="1:11" x14ac:dyDescent="0.35">
      <c r="A10" s="12" t="s">
        <v>470</v>
      </c>
      <c r="B10" s="1" t="s">
        <v>148</v>
      </c>
      <c r="C10" s="1" t="s">
        <v>710</v>
      </c>
      <c r="D10" s="21">
        <f>_xlfn.XLOOKUP(C:C,'[1]Reporte Flexible de Personas - '!$B:$B,'[1]Reporte Flexible de Personas - '!$E:$E)</f>
        <v>46625</v>
      </c>
      <c r="E10" s="21">
        <f>_xlfn.XLOOKUP(C:C,'[1]Reporte Flexible de Personas - '!$B:$B,'[1]Reporte Flexible de Personas - '!$G:$G)</f>
        <v>46653</v>
      </c>
      <c r="F10" s="25">
        <f>_xlfn.XLOOKUP(C:C,'[1]Reporte Flexible de Personas - '!$B:$B,'[1]Reporte Flexible de Personas - '!$I:$I)</f>
        <v>46697</v>
      </c>
      <c r="G10" s="23" t="e">
        <f>_xlfn.XLOOKUP(C:C,[2]Planilla!$C:$C,[2]Planilla!$H:$H)</f>
        <v>#N/A</v>
      </c>
      <c r="H10" s="23" t="e">
        <f>_xlfn.XLOOKUP(C:C,[2]Planilla!$C:$C,[2]Planilla!$I:$I)</f>
        <v>#N/A</v>
      </c>
      <c r="I10" s="23" t="e">
        <f>_xlfn.XLOOKUP(C:C,[2]Planilla!$C:$C,[2]Planilla!$J:$J)</f>
        <v>#N/A</v>
      </c>
      <c r="J10" s="23">
        <f>_xlfn.XLOOKUP(A:A,[3]Matriz!$E:$E,[3]Matriz!$FD:$FD)</f>
        <v>0</v>
      </c>
      <c r="K10" s="23">
        <f>_xlfn.XLOOKUP(A:A,[3]Matriz!$E:$E,[3]Matriz!$FF:$FF)</f>
        <v>45750</v>
      </c>
    </row>
    <row r="11" spans="1:11" x14ac:dyDescent="0.35">
      <c r="A11" s="12" t="s">
        <v>453</v>
      </c>
      <c r="B11" s="1" t="s">
        <v>454</v>
      </c>
      <c r="C11" s="1" t="s">
        <v>711</v>
      </c>
      <c r="D11" s="21">
        <f>_xlfn.XLOOKUP(C:C,'[1]Reporte Flexible de Personas - '!$B:$B,'[1]Reporte Flexible de Personas - '!$E:$E)</f>
        <v>48331</v>
      </c>
      <c r="E11" s="21">
        <f>_xlfn.XLOOKUP(C:C,'[1]Reporte Flexible de Personas - '!$B:$B,'[1]Reporte Flexible de Personas - '!$G:$G)</f>
        <v>46632</v>
      </c>
      <c r="F11" s="25">
        <f>_xlfn.XLOOKUP(C:C,'[1]Reporte Flexible de Personas - '!$B:$B,'[1]Reporte Flexible de Personas - '!$I:$I)</f>
        <v>47003</v>
      </c>
      <c r="G11" s="23">
        <f>_xlfn.XLOOKUP(C:C,[2]Planilla!$C:$C,[2]Planilla!$H:$H)</f>
        <v>47235</v>
      </c>
      <c r="H11" s="23">
        <f>_xlfn.XLOOKUP(C:C,[2]Planilla!$C:$C,[2]Planilla!$I:$I)</f>
        <v>47235</v>
      </c>
      <c r="I11" s="23">
        <f>_xlfn.XLOOKUP(C:C,[2]Planilla!$C:$C,[2]Planilla!$J:$J)</f>
        <v>47132</v>
      </c>
      <c r="J11" s="23">
        <f>_xlfn.XLOOKUP(A:A,[3]Matriz!$E:$E,[3]Matriz!$FD:$FD)</f>
        <v>0</v>
      </c>
      <c r="K11" s="23">
        <f>_xlfn.XLOOKUP(A:A,[3]Matriz!$E:$E,[3]Matriz!$FF:$FF)</f>
        <v>0</v>
      </c>
    </row>
    <row r="12" spans="1:11" x14ac:dyDescent="0.35">
      <c r="A12" s="12" t="s">
        <v>506</v>
      </c>
      <c r="B12" s="1" t="s">
        <v>507</v>
      </c>
      <c r="C12" s="1" t="s">
        <v>712</v>
      </c>
      <c r="D12" s="21">
        <f>_xlfn.XLOOKUP(C:C,'[1]Reporte Flexible de Personas - '!$B:$B,'[1]Reporte Flexible de Personas - '!$E:$E)</f>
        <v>47687</v>
      </c>
      <c r="E12" s="21">
        <f>_xlfn.XLOOKUP(C:C,'[1]Reporte Flexible de Personas - '!$B:$B,'[1]Reporte Flexible de Personas - '!$G:$G)</f>
        <v>46466</v>
      </c>
      <c r="F12" s="25">
        <f>_xlfn.XLOOKUP(C:C,'[1]Reporte Flexible de Personas - '!$B:$B,'[1]Reporte Flexible de Personas - '!$I:$I)</f>
        <v>47004</v>
      </c>
      <c r="G12" s="23">
        <f>_xlfn.XLOOKUP(C:C,[2]Planilla!$C:$C,[2]Planilla!$H:$H)</f>
        <v>48052</v>
      </c>
      <c r="H12" s="23">
        <f>_xlfn.XLOOKUP(C:C,[2]Planilla!$C:$C,[2]Planilla!$I:$I)</f>
        <v>48052</v>
      </c>
      <c r="I12" s="23">
        <f>_xlfn.XLOOKUP(C:C,[2]Planilla!$C:$C,[2]Planilla!$J:$J)</f>
        <v>47307</v>
      </c>
      <c r="J12" s="23">
        <f>_xlfn.XLOOKUP(A:A,[3]Matriz!$E:$E,[3]Matriz!$FD:$FD)</f>
        <v>0</v>
      </c>
      <c r="K12" s="23">
        <f>_xlfn.XLOOKUP(A:A,[3]Matriz!$E:$E,[3]Matriz!$FF:$FF)</f>
        <v>0</v>
      </c>
    </row>
    <row r="13" spans="1:11" x14ac:dyDescent="0.35">
      <c r="A13" s="12" t="s">
        <v>441</v>
      </c>
      <c r="B13" s="1" t="s">
        <v>198</v>
      </c>
      <c r="C13" s="1" t="s">
        <v>713</v>
      </c>
      <c r="D13" s="21">
        <f>_xlfn.XLOOKUP(C:C,'[1]Reporte Flexible de Personas - '!$B:$B,'[1]Reporte Flexible de Personas - '!$E:$E)</f>
        <v>49039</v>
      </c>
      <c r="E13" s="21">
        <f>_xlfn.XLOOKUP(C:C,'[1]Reporte Flexible de Personas - '!$B:$B,'[1]Reporte Flexible de Personas - '!$G:$G)</f>
        <v>46807</v>
      </c>
      <c r="F13" s="25">
        <f>_xlfn.XLOOKUP(C:C,'[1]Reporte Flexible de Personas - '!$B:$B,'[1]Reporte Flexible de Personas - '!$I:$I)</f>
        <v>47565</v>
      </c>
      <c r="G13" s="23">
        <f>_xlfn.XLOOKUP(C:C,[2]Planilla!$C:$C,[2]Planilla!$H:$H)</f>
        <v>46482</v>
      </c>
      <c r="H13" s="23">
        <f>_xlfn.XLOOKUP(C:C,[2]Planilla!$C:$C,[2]Planilla!$I:$I)</f>
        <v>46482</v>
      </c>
      <c r="I13" s="23">
        <f>_xlfn.XLOOKUP(C:C,[2]Planilla!$C:$C,[2]Planilla!$J:$J)</f>
        <v>47295</v>
      </c>
      <c r="J13" s="23">
        <f>_xlfn.XLOOKUP(A:A,[3]Matriz!$E:$E,[3]Matriz!$FD:$FD)</f>
        <v>0</v>
      </c>
      <c r="K13" s="23">
        <f>_xlfn.XLOOKUP(A:A,[3]Matriz!$E:$E,[3]Matriz!$FF:$FF)</f>
        <v>46388</v>
      </c>
    </row>
    <row r="14" spans="1:11" x14ac:dyDescent="0.35">
      <c r="A14" s="12" t="s">
        <v>378</v>
      </c>
      <c r="B14" s="1" t="s">
        <v>80</v>
      </c>
      <c r="C14" s="1" t="s">
        <v>714</v>
      </c>
      <c r="D14" s="21">
        <f>_xlfn.XLOOKUP(C:C,'[1]Reporte Flexible de Personas - '!$B:$B,'[1]Reporte Flexible de Personas - '!$E:$E)</f>
        <v>47370</v>
      </c>
      <c r="E14" s="21">
        <f>_xlfn.XLOOKUP(C:C,'[1]Reporte Flexible de Personas - '!$B:$B,'[1]Reporte Flexible de Personas - '!$G:$G)</f>
        <v>46478</v>
      </c>
      <c r="F14" s="25">
        <f>_xlfn.XLOOKUP(C:C,'[1]Reporte Flexible de Personas - '!$B:$B,'[1]Reporte Flexible de Personas - '!$I:$I)</f>
        <v>47119</v>
      </c>
      <c r="G14" s="23">
        <f>_xlfn.XLOOKUP(C:C,[2]Planilla!$C:$C,[2]Planilla!$H:$H)</f>
        <v>47370</v>
      </c>
      <c r="H14" s="23">
        <f>_xlfn.XLOOKUP(C:C,[2]Planilla!$C:$C,[2]Planilla!$I:$I)</f>
        <v>47370</v>
      </c>
      <c r="I14" s="23">
        <f>_xlfn.XLOOKUP(C:C,[2]Planilla!$C:$C,[2]Planilla!$J:$J)</f>
        <v>46505</v>
      </c>
      <c r="J14" s="23">
        <f>_xlfn.XLOOKUP(A:A,[3]Matriz!$E:$E,[3]Matriz!$FD:$FD)</f>
        <v>46388</v>
      </c>
      <c r="K14" s="23">
        <f>_xlfn.XLOOKUP(A:A,[3]Matriz!$E:$E,[3]Matriz!$FF:$FF)</f>
        <v>46388</v>
      </c>
    </row>
    <row r="15" spans="1:11" x14ac:dyDescent="0.35">
      <c r="A15" s="12" t="s">
        <v>474</v>
      </c>
      <c r="B15" s="1" t="s">
        <v>199</v>
      </c>
      <c r="C15" s="1" t="s">
        <v>715</v>
      </c>
      <c r="D15" s="21">
        <f>_xlfn.XLOOKUP(C:C,'[1]Reporte Flexible de Personas - '!$B:$B,'[1]Reporte Flexible de Personas - '!$E:$E)</f>
        <v>49411</v>
      </c>
      <c r="E15" s="21">
        <f>_xlfn.XLOOKUP(C:C,'[1]Reporte Flexible de Personas - '!$B:$B,'[1]Reporte Flexible de Personas - '!$G:$G)</f>
        <v>46929</v>
      </c>
      <c r="F15" s="25">
        <f>_xlfn.XLOOKUP(C:C,'[1]Reporte Flexible de Personas - '!$B:$B,'[1]Reporte Flexible de Personas - '!$I:$I)</f>
        <v>46242</v>
      </c>
      <c r="G15" s="23">
        <f>_xlfn.XLOOKUP(C:C,[2]Planilla!$C:$C,[2]Planilla!$H:$H)</f>
        <v>47220</v>
      </c>
      <c r="H15" s="23">
        <f>_xlfn.XLOOKUP(C:C,[2]Planilla!$C:$C,[2]Planilla!$I:$I)</f>
        <v>47220</v>
      </c>
      <c r="I15" s="23">
        <f>_xlfn.XLOOKUP(C:C,[2]Planilla!$C:$C,[2]Planilla!$J:$J)</f>
        <v>47324</v>
      </c>
      <c r="J15" s="23">
        <f>_xlfn.XLOOKUP(A:A,[3]Matriz!$E:$E,[3]Matriz!$FD:$FD)</f>
        <v>0</v>
      </c>
      <c r="K15" s="23">
        <f>_xlfn.XLOOKUP(A:A,[3]Matriz!$E:$E,[3]Matriz!$FF:$FF)</f>
        <v>46388</v>
      </c>
    </row>
    <row r="16" spans="1:11" x14ac:dyDescent="0.35">
      <c r="A16" s="12" t="s">
        <v>457</v>
      </c>
      <c r="B16" s="1" t="s">
        <v>200</v>
      </c>
      <c r="C16" s="1" t="s">
        <v>716</v>
      </c>
      <c r="D16" s="21">
        <f>_xlfn.XLOOKUP(C:C,'[1]Reporte Flexible de Personas - '!$B:$B,'[1]Reporte Flexible de Personas - '!$E:$E)</f>
        <v>48186</v>
      </c>
      <c r="E16" s="21">
        <f>_xlfn.XLOOKUP(C:C,'[1]Reporte Flexible de Personas - '!$B:$B,'[1]Reporte Flexible de Personas - '!$G:$G)</f>
        <v>46344</v>
      </c>
      <c r="F16" s="25">
        <f>_xlfn.XLOOKUP(C:C,'[1]Reporte Flexible de Personas - '!$B:$B,'[1]Reporte Flexible de Personas - '!$I:$I)</f>
        <v>46765</v>
      </c>
      <c r="G16" s="23" t="e">
        <f>_xlfn.XLOOKUP(C:C,[2]Planilla!$C:$C,[2]Planilla!$H:$H)</f>
        <v>#N/A</v>
      </c>
      <c r="H16" s="23" t="e">
        <f>_xlfn.XLOOKUP(C:C,[2]Planilla!$C:$C,[2]Planilla!$I:$I)</f>
        <v>#N/A</v>
      </c>
      <c r="I16" s="23" t="e">
        <f>_xlfn.XLOOKUP(C:C,[2]Planilla!$C:$C,[2]Planilla!$J:$J)</f>
        <v>#N/A</v>
      </c>
      <c r="J16" s="23">
        <f>_xlfn.XLOOKUP(A:A,[3]Matriz!$E:$E,[3]Matriz!$FD:$FD)</f>
        <v>0</v>
      </c>
      <c r="K16" s="23">
        <f>_xlfn.XLOOKUP(A:A,[3]Matriz!$E:$E,[3]Matriz!$FF:$FF)</f>
        <v>0</v>
      </c>
    </row>
    <row r="17" spans="1:11" x14ac:dyDescent="0.35">
      <c r="A17" s="12" t="s">
        <v>243</v>
      </c>
      <c r="B17" s="1" t="s">
        <v>81</v>
      </c>
      <c r="C17" s="1" t="s">
        <v>717</v>
      </c>
      <c r="D17" s="21">
        <f>_xlfn.XLOOKUP(C:C,'[1]Reporte Flexible de Personas - '!$B:$B,'[1]Reporte Flexible de Personas - '!$E:$E)</f>
        <v>48370</v>
      </c>
      <c r="E17" s="21">
        <f>_xlfn.XLOOKUP(C:C,'[1]Reporte Flexible de Personas - '!$B:$B,'[1]Reporte Flexible de Personas - '!$G:$G)</f>
        <v>46627</v>
      </c>
      <c r="F17" s="25">
        <f>_xlfn.XLOOKUP(C:C,'[1]Reporte Flexible de Personas - '!$B:$B,'[1]Reporte Flexible de Personas - '!$I:$I)</f>
        <v>46292</v>
      </c>
      <c r="G17" s="23">
        <f>_xlfn.XLOOKUP(C:C,[2]Planilla!$C:$C,[2]Planilla!$H:$H)</f>
        <v>46178</v>
      </c>
      <c r="H17" s="23">
        <f>_xlfn.XLOOKUP(C:C,[2]Planilla!$C:$C,[2]Planilla!$I:$I)</f>
        <v>46178</v>
      </c>
      <c r="I17" s="23">
        <f>_xlfn.XLOOKUP(C:C,[2]Planilla!$C:$C,[2]Planilla!$J:$J)</f>
        <v>46308</v>
      </c>
      <c r="J17" s="23">
        <f>_xlfn.XLOOKUP(A:A,[3]Matriz!$E:$E,[3]Matriz!$FD:$FD)</f>
        <v>0</v>
      </c>
      <c r="K17" s="23">
        <f>_xlfn.XLOOKUP(A:A,[3]Matriz!$E:$E,[3]Matriz!$FF:$FF)</f>
        <v>0</v>
      </c>
    </row>
    <row r="18" spans="1:11" x14ac:dyDescent="0.35">
      <c r="A18" s="12" t="s">
        <v>521</v>
      </c>
      <c r="B18" s="1" t="s">
        <v>149</v>
      </c>
      <c r="C18" s="1" t="s">
        <v>718</v>
      </c>
      <c r="D18" s="21">
        <f>_xlfn.XLOOKUP(C:C,'[1]Reporte Flexible de Personas - '!$B:$B,'[1]Reporte Flexible de Personas - '!$E:$E)</f>
        <v>47863</v>
      </c>
      <c r="E18" s="21">
        <f>_xlfn.XLOOKUP(C:C,'[1]Reporte Flexible de Personas - '!$B:$B,'[1]Reporte Flexible de Personas - '!$G:$G)</f>
        <v>46328</v>
      </c>
      <c r="F18" s="25">
        <f>_xlfn.XLOOKUP(C:C,'[1]Reporte Flexible de Personas - '!$B:$B,'[1]Reporte Flexible de Personas - '!$I:$I)</f>
        <v>47363</v>
      </c>
      <c r="G18" s="23">
        <f>_xlfn.XLOOKUP(C:C,[2]Planilla!$C:$C,[2]Planilla!$H:$H)</f>
        <v>46402</v>
      </c>
      <c r="H18" s="23">
        <f>_xlfn.XLOOKUP(C:C,[2]Planilla!$C:$C,[2]Planilla!$I:$I)</f>
        <v>46402</v>
      </c>
      <c r="I18" s="23">
        <f>_xlfn.XLOOKUP(C:C,[2]Planilla!$C:$C,[2]Planilla!$J:$J)</f>
        <v>47211</v>
      </c>
      <c r="J18" s="23">
        <f>_xlfn.XLOOKUP(A:A,[3]Matriz!$E:$E,[3]Matriz!$FD:$FD)</f>
        <v>0</v>
      </c>
      <c r="K18" s="23">
        <f>_xlfn.XLOOKUP(A:A,[3]Matriz!$E:$E,[3]Matriz!$FF:$FF)</f>
        <v>0</v>
      </c>
    </row>
    <row r="19" spans="1:11" x14ac:dyDescent="0.35">
      <c r="A19" s="14" t="s">
        <v>293</v>
      </c>
      <c r="B19" s="1" t="s">
        <v>201</v>
      </c>
      <c r="C19" s="1" t="s">
        <v>719</v>
      </c>
      <c r="D19" s="21">
        <f>_xlfn.XLOOKUP(C:C,'[1]Reporte Flexible de Personas - '!$B:$B,'[1]Reporte Flexible de Personas - '!$E:$E)</f>
        <v>48768</v>
      </c>
      <c r="E19" s="21">
        <f>_xlfn.XLOOKUP(C:C,'[1]Reporte Flexible de Personas - '!$B:$B,'[1]Reporte Flexible de Personas - '!$G:$G)</f>
        <v>46935</v>
      </c>
      <c r="F19" s="25">
        <f>_xlfn.XLOOKUP(C:C,'[1]Reporte Flexible de Personas - '!$B:$B,'[1]Reporte Flexible de Personas - '!$I:$I)</f>
        <v>47324</v>
      </c>
      <c r="G19" s="23" t="e">
        <f>_xlfn.XLOOKUP(C:C,[2]Planilla!$C:$C,[2]Planilla!$H:$H)</f>
        <v>#N/A</v>
      </c>
      <c r="H19" s="23" t="e">
        <f>_xlfn.XLOOKUP(C:C,[2]Planilla!$C:$C,[2]Planilla!$I:$I)</f>
        <v>#N/A</v>
      </c>
      <c r="I19" s="23" t="e">
        <f>_xlfn.XLOOKUP(C:C,[2]Planilla!$C:$C,[2]Planilla!$J:$J)</f>
        <v>#N/A</v>
      </c>
      <c r="J19" s="23">
        <f>_xlfn.XLOOKUP(A:A,[3]Matriz!$E:$E,[3]Matriz!$FD:$FD)</f>
        <v>0</v>
      </c>
      <c r="K19" s="23">
        <f>_xlfn.XLOOKUP(A:A,[3]Matriz!$E:$E,[3]Matriz!$FF:$FF)</f>
        <v>0</v>
      </c>
    </row>
    <row r="20" spans="1:11" x14ac:dyDescent="0.35">
      <c r="A20" s="12" t="s">
        <v>350</v>
      </c>
      <c r="B20" s="1" t="s">
        <v>150</v>
      </c>
      <c r="C20" s="1" t="s">
        <v>720</v>
      </c>
      <c r="D20" s="21">
        <f>_xlfn.XLOOKUP(C:C,'[1]Reporte Flexible de Personas - '!$B:$B,'[1]Reporte Flexible de Personas - '!$E:$E)</f>
        <v>47923</v>
      </c>
      <c r="E20" s="21">
        <f>_xlfn.XLOOKUP(C:C,'[1]Reporte Flexible de Personas - '!$B:$B,'[1]Reporte Flexible de Personas - '!$G:$G)</f>
        <v>46774</v>
      </c>
      <c r="F20" s="25">
        <f>_xlfn.XLOOKUP(C:C,'[1]Reporte Flexible de Personas - '!$B:$B,'[1]Reporte Flexible de Personas - '!$I:$I)</f>
        <v>47162</v>
      </c>
      <c r="G20" s="23" t="e">
        <f>_xlfn.XLOOKUP(C:C,[2]Planilla!$C:$C,[2]Planilla!$H:$H)</f>
        <v>#N/A</v>
      </c>
      <c r="H20" s="23" t="e">
        <f>_xlfn.XLOOKUP(C:C,[2]Planilla!$C:$C,[2]Planilla!$I:$I)</f>
        <v>#N/A</v>
      </c>
      <c r="I20" s="23" t="e">
        <f>_xlfn.XLOOKUP(C:C,[2]Planilla!$C:$C,[2]Planilla!$J:$J)</f>
        <v>#N/A</v>
      </c>
      <c r="J20" s="23">
        <f>_xlfn.XLOOKUP(A:A,[3]Matriz!$E:$E,[3]Matriz!$FD:$FD)</f>
        <v>0</v>
      </c>
      <c r="K20" s="23">
        <f>_xlfn.XLOOKUP(A:A,[3]Matriz!$E:$E,[3]Matriz!$FF:$FF)</f>
        <v>0</v>
      </c>
    </row>
    <row r="21" spans="1:11" x14ac:dyDescent="0.35">
      <c r="A21" s="12" t="s">
        <v>464</v>
      </c>
      <c r="B21" s="1" t="s">
        <v>151</v>
      </c>
      <c r="C21" s="1" t="s">
        <v>721</v>
      </c>
      <c r="D21" s="21">
        <f>_xlfn.XLOOKUP(C:C,'[1]Reporte Flexible de Personas - '!$B:$B,'[1]Reporte Flexible de Personas - '!$E:$E)</f>
        <v>48076</v>
      </c>
      <c r="E21" s="21">
        <f>_xlfn.XLOOKUP(C:C,'[1]Reporte Flexible de Personas - '!$B:$B,'[1]Reporte Flexible de Personas - '!$G:$G)</f>
        <v>46718</v>
      </c>
      <c r="F21" s="25">
        <f>_xlfn.XLOOKUP(C:C,'[1]Reporte Flexible de Personas - '!$B:$B,'[1]Reporte Flexible de Personas - '!$I:$I)</f>
        <v>47292</v>
      </c>
      <c r="G21" s="23" t="e">
        <f>_xlfn.XLOOKUP(C:C,[2]Planilla!$C:$C,[2]Planilla!$H:$H)</f>
        <v>#N/A</v>
      </c>
      <c r="H21" s="23" t="e">
        <f>_xlfn.XLOOKUP(C:C,[2]Planilla!$C:$C,[2]Planilla!$I:$I)</f>
        <v>#N/A</v>
      </c>
      <c r="I21" s="23" t="e">
        <f>_xlfn.XLOOKUP(C:C,[2]Planilla!$C:$C,[2]Planilla!$J:$J)</f>
        <v>#N/A</v>
      </c>
      <c r="J21" s="23">
        <f>_xlfn.XLOOKUP(A:A,[3]Matriz!$E:$E,[3]Matriz!$FD:$FD)</f>
        <v>0</v>
      </c>
      <c r="K21" s="23">
        <f>_xlfn.XLOOKUP(A:A,[3]Matriz!$E:$E,[3]Matriz!$FF:$FF)</f>
        <v>0</v>
      </c>
    </row>
    <row r="22" spans="1:11" x14ac:dyDescent="0.35">
      <c r="A22" s="12" t="s">
        <v>242</v>
      </c>
      <c r="B22" s="1" t="s">
        <v>152</v>
      </c>
      <c r="C22" s="1" t="s">
        <v>722</v>
      </c>
      <c r="D22" s="21">
        <f>_xlfn.XLOOKUP(C:C,'[1]Reporte Flexible de Personas - '!$B:$B,'[1]Reporte Flexible de Personas - '!$E:$E)</f>
        <v>46643</v>
      </c>
      <c r="E22" s="21">
        <f>_xlfn.XLOOKUP(C:C,'[1]Reporte Flexible de Personas - '!$B:$B,'[1]Reporte Flexible de Personas - '!$G:$G)</f>
        <v>46661</v>
      </c>
      <c r="F22" s="25">
        <f>_xlfn.XLOOKUP(C:C,'[1]Reporte Flexible de Personas - '!$B:$B,'[1]Reporte Flexible de Personas - '!$I:$I)</f>
        <v>47053</v>
      </c>
      <c r="G22" s="23">
        <f>_xlfn.XLOOKUP(C:C,[2]Planilla!$C:$C,[2]Planilla!$H:$H)</f>
        <v>46643</v>
      </c>
      <c r="H22" s="23">
        <f>_xlfn.XLOOKUP(C:C,[2]Planilla!$C:$C,[2]Planilla!$I:$I)</f>
        <v>46643</v>
      </c>
      <c r="I22" s="23">
        <f>_xlfn.XLOOKUP(C:C,[2]Planilla!$C:$C,[2]Planilla!$J:$J)</f>
        <v>46315</v>
      </c>
      <c r="J22" s="23">
        <f>_xlfn.XLOOKUP(A:A,[3]Matriz!$E:$E,[3]Matriz!$FD:$FD)</f>
        <v>0</v>
      </c>
      <c r="K22" s="23">
        <f>_xlfn.XLOOKUP(A:A,[3]Matriz!$E:$E,[3]Matriz!$FF:$FF)</f>
        <v>0</v>
      </c>
    </row>
    <row r="23" spans="1:11" x14ac:dyDescent="0.35">
      <c r="A23" s="12" t="s">
        <v>246</v>
      </c>
      <c r="B23" s="1" t="s">
        <v>6</v>
      </c>
      <c r="C23" s="1" t="s">
        <v>723</v>
      </c>
      <c r="D23" s="21">
        <f>_xlfn.XLOOKUP(C:C,'[1]Reporte Flexible de Personas - '!$B:$B,'[1]Reporte Flexible de Personas - '!$E:$E)</f>
        <v>46427</v>
      </c>
      <c r="E23" s="21">
        <f>_xlfn.XLOOKUP(C:C,'[1]Reporte Flexible de Personas - '!$B:$B,'[1]Reporte Flexible de Personas - '!$G:$G)</f>
        <v>46235</v>
      </c>
      <c r="F23" s="25">
        <f>_xlfn.XLOOKUP(C:C,'[1]Reporte Flexible de Personas - '!$B:$B,'[1]Reporte Flexible de Personas - '!$I:$I)</f>
        <v>47357</v>
      </c>
      <c r="G23" s="23">
        <f>_xlfn.XLOOKUP(C:C,[2]Planilla!$C:$C,[2]Planilla!$H:$H)</f>
        <v>48253</v>
      </c>
      <c r="H23" s="23">
        <f>_xlfn.XLOOKUP(C:C,[2]Planilla!$C:$C,[2]Planilla!$I:$I)</f>
        <v>46624</v>
      </c>
      <c r="I23" s="23">
        <f>_xlfn.XLOOKUP(C:C,[2]Planilla!$C:$C,[2]Planilla!$J:$J)</f>
        <v>47383</v>
      </c>
      <c r="J23" s="23">
        <f>_xlfn.XLOOKUP(A:A,[3]Matriz!$E:$E,[3]Matriz!$FD:$FD)</f>
        <v>0</v>
      </c>
      <c r="K23" s="23">
        <f>_xlfn.XLOOKUP(A:A,[3]Matriz!$E:$E,[3]Matriz!$FF:$FF)</f>
        <v>0</v>
      </c>
    </row>
    <row r="24" spans="1:11" x14ac:dyDescent="0.35">
      <c r="A24" s="14" t="s">
        <v>380</v>
      </c>
      <c r="B24" s="1" t="s">
        <v>143</v>
      </c>
      <c r="C24" s="1" t="s">
        <v>724</v>
      </c>
      <c r="D24" s="21">
        <f>_xlfn.XLOOKUP(C:C,'[1]Reporte Flexible de Personas - '!$B:$B,'[1]Reporte Flexible de Personas - '!$E:$E)</f>
        <v>47345</v>
      </c>
      <c r="E24" s="21">
        <f>_xlfn.XLOOKUP(C:C,'[1]Reporte Flexible de Personas - '!$B:$B,'[1]Reporte Flexible de Personas - '!$G:$G)</f>
        <v>46936</v>
      </c>
      <c r="F24" s="25">
        <f>_xlfn.XLOOKUP(C:C,'[1]Reporte Flexible de Personas - '!$B:$B,'[1]Reporte Flexible de Personas - '!$I:$I)</f>
        <v>47299</v>
      </c>
      <c r="G24" s="23">
        <f>_xlfn.XLOOKUP(C:C,[2]Planilla!$C:$C,[2]Planilla!$H:$H)</f>
        <v>46249</v>
      </c>
      <c r="H24" s="23">
        <f>_xlfn.XLOOKUP(C:C,[2]Planilla!$C:$C,[2]Planilla!$I:$I)</f>
        <v>46249</v>
      </c>
      <c r="I24" s="23">
        <f>_xlfn.XLOOKUP(C:C,[2]Planilla!$C:$C,[2]Planilla!$J:$J)</f>
        <v>46805</v>
      </c>
      <c r="J24" s="23">
        <f>_xlfn.XLOOKUP(A:A,[3]Matriz!$E:$E,[3]Matriz!$FD:$FD)</f>
        <v>0</v>
      </c>
      <c r="K24" s="23">
        <f>_xlfn.XLOOKUP(A:A,[3]Matriz!$E:$E,[3]Matriz!$FF:$FF)</f>
        <v>0</v>
      </c>
    </row>
    <row r="25" spans="1:11" x14ac:dyDescent="0.35">
      <c r="A25" s="12" t="s">
        <v>436</v>
      </c>
      <c r="B25" s="1" t="s">
        <v>153</v>
      </c>
      <c r="C25" s="1" t="s">
        <v>725</v>
      </c>
      <c r="D25" s="21">
        <f>_xlfn.XLOOKUP(C:C,'[1]Reporte Flexible de Personas - '!$B:$B,'[1]Reporte Flexible de Personas - '!$E:$E)</f>
        <v>48389</v>
      </c>
      <c r="E25" s="21">
        <f>_xlfn.XLOOKUP(C:C,'[1]Reporte Flexible de Personas - '!$B:$B,'[1]Reporte Flexible de Personas - '!$G:$G)</f>
        <v>46788</v>
      </c>
      <c r="F25" s="25">
        <f>_xlfn.XLOOKUP(C:C,'[1]Reporte Flexible de Personas - '!$B:$B,'[1]Reporte Flexible de Personas - '!$I:$I)</f>
        <v>47224</v>
      </c>
      <c r="G25" s="23">
        <f>_xlfn.XLOOKUP(C:C,[2]Planilla!$C:$C,[2]Planilla!$H:$H)</f>
        <v>48023</v>
      </c>
      <c r="H25" s="23">
        <f>_xlfn.XLOOKUP(C:C,[2]Planilla!$C:$C,[2]Planilla!$I:$I)</f>
        <v>48023</v>
      </c>
      <c r="I25" s="23">
        <f>_xlfn.XLOOKUP(C:C,[2]Planilla!$C:$C,[2]Planilla!$J:$J)</f>
        <v>47440</v>
      </c>
      <c r="J25" s="23">
        <f>_xlfn.XLOOKUP(A:A,[3]Matriz!$E:$E,[3]Matriz!$FD:$FD)</f>
        <v>0</v>
      </c>
      <c r="K25" s="23">
        <f>_xlfn.XLOOKUP(A:A,[3]Matriz!$E:$E,[3]Matriz!$FF:$FF)</f>
        <v>46388</v>
      </c>
    </row>
    <row r="26" spans="1:11" x14ac:dyDescent="0.35">
      <c r="A26" s="12" t="s">
        <v>526</v>
      </c>
      <c r="B26" s="1" t="s">
        <v>552</v>
      </c>
      <c r="C26" s="1" t="s">
        <v>726</v>
      </c>
      <c r="D26" s="21">
        <f>_xlfn.XLOOKUP(C:C,'[1]Reporte Flexible de Personas - '!$B:$B,'[1]Reporte Flexible de Personas - '!$E:$E)</f>
        <v>48143</v>
      </c>
      <c r="E26" s="21">
        <f>_xlfn.XLOOKUP(C:C,'[1]Reporte Flexible de Personas - '!$B:$B,'[1]Reporte Flexible de Personas - '!$G:$G)</f>
        <v>47210</v>
      </c>
      <c r="F26" s="25">
        <f>_xlfn.XLOOKUP(C:C,'[1]Reporte Flexible de Personas - '!$B:$B,'[1]Reporte Flexible de Personas - '!$I:$I)</f>
        <v>46511</v>
      </c>
      <c r="G26" s="23">
        <f>_xlfn.XLOOKUP(C:C,[2]Planilla!$C:$C,[2]Planilla!$H:$H)</f>
        <v>47414</v>
      </c>
      <c r="H26" s="23">
        <f>_xlfn.XLOOKUP(C:C,[2]Planilla!$C:$C,[2]Planilla!$I:$I)</f>
        <v>46214</v>
      </c>
      <c r="I26" s="23">
        <f>_xlfn.XLOOKUP(C:C,[2]Planilla!$C:$C,[2]Planilla!$J:$J)</f>
        <v>46521</v>
      </c>
      <c r="J26" s="23">
        <f>_xlfn.XLOOKUP(A:A,[3]Matriz!$E:$E,[3]Matriz!$FD:$FD)</f>
        <v>0</v>
      </c>
      <c r="K26" s="23">
        <f>_xlfn.XLOOKUP(A:A,[3]Matriz!$E:$E,[3]Matriz!$FF:$FF)</f>
        <v>0</v>
      </c>
    </row>
    <row r="27" spans="1:11" x14ac:dyDescent="0.35">
      <c r="A27" s="12" t="s">
        <v>480</v>
      </c>
      <c r="B27" s="1" t="s">
        <v>239</v>
      </c>
      <c r="C27" s="1" t="s">
        <v>727</v>
      </c>
      <c r="D27" s="21">
        <f>_xlfn.XLOOKUP(C:C,'[1]Reporte Flexible de Personas - '!$B:$B,'[1]Reporte Flexible de Personas - '!$E:$E)</f>
        <v>47125</v>
      </c>
      <c r="E27" s="21">
        <f>_xlfn.XLOOKUP(C:C,'[1]Reporte Flexible de Personas - '!$B:$B,'[1]Reporte Flexible de Personas - '!$G:$G)</f>
        <v>46418</v>
      </c>
      <c r="F27" s="25">
        <f>_xlfn.XLOOKUP(C:C,'[1]Reporte Flexible de Personas - '!$B:$B,'[1]Reporte Flexible de Personas - '!$I:$I)</f>
        <v>46445</v>
      </c>
      <c r="G27" s="23">
        <f>_xlfn.XLOOKUP(C:C,[2]Planilla!$C:$C,[2]Planilla!$H:$H)</f>
        <v>47125</v>
      </c>
      <c r="H27" s="23">
        <f>_xlfn.XLOOKUP(C:C,[2]Planilla!$C:$C,[2]Planilla!$I:$I)</f>
        <v>47125</v>
      </c>
      <c r="I27" s="23">
        <f>_xlfn.XLOOKUP(C:C,[2]Planilla!$C:$C,[2]Planilla!$J:$J)</f>
        <v>46424</v>
      </c>
      <c r="J27" s="23">
        <f>_xlfn.XLOOKUP(A:A,[3]Matriz!$E:$E,[3]Matriz!$FD:$FD)</f>
        <v>0</v>
      </c>
      <c r="K27" s="23">
        <f>_xlfn.XLOOKUP(A:A,[3]Matriz!$E:$E,[3]Matriz!$FF:$FF)</f>
        <v>46388</v>
      </c>
    </row>
    <row r="28" spans="1:11" x14ac:dyDescent="0.35">
      <c r="A28" s="12" t="s">
        <v>534</v>
      </c>
      <c r="B28" s="1" t="s">
        <v>82</v>
      </c>
      <c r="C28" s="1" t="s">
        <v>728</v>
      </c>
      <c r="D28" s="21">
        <f>_xlfn.XLOOKUP(C:C,'[1]Reporte Flexible de Personas - '!$B:$B,'[1]Reporte Flexible de Personas - '!$E:$E)</f>
        <v>46320</v>
      </c>
      <c r="E28" s="21">
        <f>_xlfn.XLOOKUP(C:C,'[1]Reporte Flexible de Personas - '!$B:$B,'[1]Reporte Flexible de Personas - '!$G:$G)</f>
        <v>46535</v>
      </c>
      <c r="F28" s="25">
        <f>_xlfn.XLOOKUP(C:C,'[1]Reporte Flexible de Personas - '!$B:$B,'[1]Reporte Flexible de Personas - '!$I:$I)</f>
        <v>46966</v>
      </c>
      <c r="G28" s="23">
        <f>_xlfn.XLOOKUP(C:C,[2]Planilla!$C:$C,[2]Planilla!$H:$H)</f>
        <v>47416</v>
      </c>
      <c r="H28" s="23">
        <f>_xlfn.XLOOKUP(C:C,[2]Planilla!$C:$C,[2]Planilla!$I:$I)</f>
        <v>46197</v>
      </c>
      <c r="I28" s="23">
        <f>_xlfn.XLOOKUP(C:C,[2]Planilla!$C:$C,[2]Planilla!$J:$J)</f>
        <v>46197</v>
      </c>
      <c r="J28" s="23">
        <f>_xlfn.XLOOKUP(A:A,[3]Matriz!$E:$E,[3]Matriz!$FD:$FD)</f>
        <v>0</v>
      </c>
      <c r="K28" s="23">
        <f>_xlfn.XLOOKUP(A:A,[3]Matriz!$E:$E,[3]Matriz!$FF:$FF)</f>
        <v>0</v>
      </c>
    </row>
    <row r="29" spans="1:11" x14ac:dyDescent="0.35">
      <c r="A29" s="12" t="s">
        <v>571</v>
      </c>
      <c r="B29" s="1" t="s">
        <v>572</v>
      </c>
      <c r="C29" s="1" t="s">
        <v>729</v>
      </c>
      <c r="D29" s="21" t="e">
        <f>_xlfn.XLOOKUP(C:C,'[1]Reporte Flexible de Personas - '!$B:$B,'[1]Reporte Flexible de Personas - '!$E:$E)</f>
        <v>#N/A</v>
      </c>
      <c r="E29" s="21" t="e">
        <f>_xlfn.XLOOKUP(C:C,'[1]Reporte Flexible de Personas - '!$B:$B,'[1]Reporte Flexible de Personas - '!$G:$G)</f>
        <v>#N/A</v>
      </c>
      <c r="F29" s="25" t="e">
        <f>_xlfn.XLOOKUP(C:C,'[1]Reporte Flexible de Personas - '!$B:$B,'[1]Reporte Flexible de Personas - '!$I:$I)</f>
        <v>#N/A</v>
      </c>
      <c r="G29" s="23" t="e">
        <f>_xlfn.XLOOKUP(C:C,[2]Planilla!$C:$C,[2]Planilla!$H:$H)</f>
        <v>#N/A</v>
      </c>
      <c r="H29" s="23" t="e">
        <f>_xlfn.XLOOKUP(C:C,[2]Planilla!$C:$C,[2]Planilla!$I:$I)</f>
        <v>#N/A</v>
      </c>
      <c r="I29" s="23" t="e">
        <f>_xlfn.XLOOKUP(C:C,[2]Planilla!$C:$C,[2]Planilla!$J:$J)</f>
        <v>#N/A</v>
      </c>
      <c r="J29" s="23">
        <f>_xlfn.XLOOKUP(A:A,[3]Matriz!$E:$E,[3]Matriz!$FD:$FD)</f>
        <v>0</v>
      </c>
      <c r="K29" s="23">
        <f>_xlfn.XLOOKUP(A:A,[3]Matriz!$E:$E,[3]Matriz!$FF:$FF)</f>
        <v>0</v>
      </c>
    </row>
    <row r="30" spans="1:11" x14ac:dyDescent="0.35">
      <c r="A30" s="14" t="s">
        <v>263</v>
      </c>
      <c r="B30" s="1" t="s">
        <v>7</v>
      </c>
      <c r="C30" s="1" t="s">
        <v>730</v>
      </c>
      <c r="D30" s="21">
        <f>_xlfn.XLOOKUP(C:C,'[1]Reporte Flexible de Personas - '!$B:$B,'[1]Reporte Flexible de Personas - '!$E:$E)</f>
        <v>46584</v>
      </c>
      <c r="E30" s="21">
        <f>_xlfn.XLOOKUP(C:C,'[1]Reporte Flexible de Personas - '!$B:$B,'[1]Reporte Flexible de Personas - '!$G:$G)</f>
        <v>46550</v>
      </c>
      <c r="F30" s="25">
        <f>_xlfn.XLOOKUP(C:C,'[1]Reporte Flexible de Personas - '!$B:$B,'[1]Reporte Flexible de Personas - '!$I:$I)</f>
        <v>46760</v>
      </c>
      <c r="G30" s="23" t="e">
        <f>_xlfn.XLOOKUP(C:C,[2]Planilla!$C:$C,[2]Planilla!$H:$H)</f>
        <v>#N/A</v>
      </c>
      <c r="H30" s="23" t="e">
        <f>_xlfn.XLOOKUP(C:C,[2]Planilla!$C:$C,[2]Planilla!$I:$I)</f>
        <v>#N/A</v>
      </c>
      <c r="I30" s="23" t="e">
        <f>_xlfn.XLOOKUP(C:C,[2]Planilla!$C:$C,[2]Planilla!$J:$J)</f>
        <v>#N/A</v>
      </c>
      <c r="J30" s="23">
        <f>_xlfn.XLOOKUP(A:A,[3]Matriz!$E:$E,[3]Matriz!$FD:$FD)</f>
        <v>0</v>
      </c>
      <c r="K30" s="23">
        <f>_xlfn.XLOOKUP(A:A,[3]Matriz!$E:$E,[3]Matriz!$FF:$FF)</f>
        <v>0</v>
      </c>
    </row>
    <row r="31" spans="1:11" x14ac:dyDescent="0.35">
      <c r="A31" s="14" t="s">
        <v>455</v>
      </c>
      <c r="B31" s="1" t="s">
        <v>83</v>
      </c>
      <c r="C31" s="1" t="s">
        <v>731</v>
      </c>
      <c r="D31" s="21">
        <f>_xlfn.XLOOKUP(C:C,'[1]Reporte Flexible de Personas - '!$B:$B,'[1]Reporte Flexible de Personas - '!$E:$E)</f>
        <v>47439</v>
      </c>
      <c r="E31" s="21">
        <f>_xlfn.XLOOKUP(C:C,'[1]Reporte Flexible de Personas - '!$B:$B,'[1]Reporte Flexible de Personas - '!$G:$G)</f>
        <v>46781</v>
      </c>
      <c r="F31" s="25">
        <f>_xlfn.XLOOKUP(C:C,'[1]Reporte Flexible de Personas - '!$B:$B,'[1]Reporte Flexible de Personas - '!$I:$I)</f>
        <v>47043</v>
      </c>
      <c r="G31" s="23" t="e">
        <f>_xlfn.XLOOKUP(C:C,[2]Planilla!$C:$C,[2]Planilla!$H:$H)</f>
        <v>#N/A</v>
      </c>
      <c r="H31" s="23" t="e">
        <f>_xlfn.XLOOKUP(C:C,[2]Planilla!$C:$C,[2]Planilla!$I:$I)</f>
        <v>#N/A</v>
      </c>
      <c r="I31" s="23" t="e">
        <f>_xlfn.XLOOKUP(C:C,[2]Planilla!$C:$C,[2]Planilla!$J:$J)</f>
        <v>#N/A</v>
      </c>
      <c r="J31" s="23">
        <f>_xlfn.XLOOKUP(A:A,[3]Matriz!$E:$E,[3]Matriz!$FD:$FD)</f>
        <v>0</v>
      </c>
      <c r="K31" s="23">
        <f>_xlfn.XLOOKUP(A:A,[3]Matriz!$E:$E,[3]Matriz!$FF:$FF)</f>
        <v>0</v>
      </c>
    </row>
    <row r="32" spans="1:11" x14ac:dyDescent="0.35">
      <c r="A32" s="14" t="s">
        <v>292</v>
      </c>
      <c r="B32" s="1" t="s">
        <v>154</v>
      </c>
      <c r="C32" s="1" t="s">
        <v>732</v>
      </c>
      <c r="D32" s="21">
        <f>_xlfn.XLOOKUP(C:C,'[1]Reporte Flexible de Personas - '!$B:$B,'[1]Reporte Flexible de Personas - '!$E:$E)</f>
        <v>47287</v>
      </c>
      <c r="E32" s="21">
        <f>_xlfn.XLOOKUP(C:C,'[1]Reporte Flexible de Personas - '!$B:$B,'[1]Reporte Flexible de Personas - '!$G:$G)</f>
        <v>46232</v>
      </c>
      <c r="F32" s="25">
        <f>_xlfn.XLOOKUP(C:C,'[1]Reporte Flexible de Personas - '!$B:$B,'[1]Reporte Flexible de Personas - '!$I:$I)</f>
        <v>46461</v>
      </c>
      <c r="G32" s="23" t="e">
        <f>_xlfn.XLOOKUP(C:C,[2]Planilla!$C:$C,[2]Planilla!$H:$H)</f>
        <v>#N/A</v>
      </c>
      <c r="H32" s="23" t="e">
        <f>_xlfn.XLOOKUP(C:C,[2]Planilla!$C:$C,[2]Planilla!$I:$I)</f>
        <v>#N/A</v>
      </c>
      <c r="I32" s="23" t="e">
        <f>_xlfn.XLOOKUP(C:C,[2]Planilla!$C:$C,[2]Planilla!$J:$J)</f>
        <v>#N/A</v>
      </c>
      <c r="J32" s="23">
        <f>_xlfn.XLOOKUP(A:A,[3]Matriz!$E:$E,[3]Matriz!$FD:$FD)</f>
        <v>0</v>
      </c>
      <c r="K32" s="23">
        <f>_xlfn.XLOOKUP(A:A,[3]Matriz!$E:$E,[3]Matriz!$FF:$FF)</f>
        <v>0</v>
      </c>
    </row>
    <row r="33" spans="1:11" x14ac:dyDescent="0.35">
      <c r="A33" s="12" t="s">
        <v>324</v>
      </c>
      <c r="B33" s="1" t="s">
        <v>155</v>
      </c>
      <c r="C33" s="1" t="s">
        <v>733</v>
      </c>
      <c r="D33" s="21">
        <f>_xlfn.XLOOKUP(C:C,'[1]Reporte Flexible de Personas - '!$B:$B,'[1]Reporte Flexible de Personas - '!$E:$E)</f>
        <v>47368</v>
      </c>
      <c r="E33" s="21">
        <f>_xlfn.XLOOKUP(C:C,'[1]Reporte Flexible de Personas - '!$B:$B,'[1]Reporte Flexible de Personas - '!$G:$G)</f>
        <v>46719</v>
      </c>
      <c r="F33" s="25">
        <f>_xlfn.XLOOKUP(C:C,'[1]Reporte Flexible de Personas - '!$B:$B,'[1]Reporte Flexible de Personas - '!$I:$I)</f>
        <v>47394</v>
      </c>
      <c r="G33" s="23">
        <f>_xlfn.XLOOKUP(C:C,[2]Planilla!$C:$C,[2]Planilla!$H:$H)</f>
        <v>47368</v>
      </c>
      <c r="H33" s="23">
        <f>_xlfn.XLOOKUP(C:C,[2]Planilla!$C:$C,[2]Planilla!$I:$I)</f>
        <v>47368</v>
      </c>
      <c r="I33" s="23">
        <f>_xlfn.XLOOKUP(C:C,[2]Planilla!$C:$C,[2]Planilla!$J:$J)</f>
        <v>46320</v>
      </c>
      <c r="J33" s="23">
        <f>_xlfn.XLOOKUP(A:A,[3]Matriz!$E:$E,[3]Matriz!$FD:$FD)</f>
        <v>0</v>
      </c>
      <c r="K33" s="23">
        <f>_xlfn.XLOOKUP(A:A,[3]Matriz!$E:$E,[3]Matriz!$FF:$FF)</f>
        <v>0</v>
      </c>
    </row>
    <row r="34" spans="1:11" x14ac:dyDescent="0.35">
      <c r="A34" s="12" t="s">
        <v>318</v>
      </c>
      <c r="B34" s="1" t="s">
        <v>31</v>
      </c>
      <c r="C34" s="1" t="s">
        <v>734</v>
      </c>
      <c r="D34" s="21">
        <f>_xlfn.XLOOKUP(C:C,'[1]Reporte Flexible de Personas - '!$B:$B,'[1]Reporte Flexible de Personas - '!$E:$E)</f>
        <v>46771</v>
      </c>
      <c r="E34" s="21">
        <f>_xlfn.XLOOKUP(C:C,'[1]Reporte Flexible de Personas - '!$B:$B,'[1]Reporte Flexible de Personas - '!$G:$G)</f>
        <v>46601</v>
      </c>
      <c r="F34" s="25">
        <f>_xlfn.XLOOKUP(C:C,'[1]Reporte Flexible de Personas - '!$B:$B,'[1]Reporte Flexible de Personas - '!$I:$I)</f>
        <v>46697</v>
      </c>
      <c r="G34" s="23" t="e">
        <f>_xlfn.XLOOKUP(C:C,[2]Planilla!$C:$C,[2]Planilla!$H:$H)</f>
        <v>#N/A</v>
      </c>
      <c r="H34" s="23" t="e">
        <f>_xlfn.XLOOKUP(C:C,[2]Planilla!$C:$C,[2]Planilla!$I:$I)</f>
        <v>#N/A</v>
      </c>
      <c r="I34" s="23" t="e">
        <f>_xlfn.XLOOKUP(C:C,[2]Planilla!$C:$C,[2]Planilla!$J:$J)</f>
        <v>#N/A</v>
      </c>
      <c r="J34" s="23">
        <f>_xlfn.XLOOKUP(A:A,[3]Matriz!$E:$E,[3]Matriz!$FD:$FD)</f>
        <v>0</v>
      </c>
      <c r="K34" s="23">
        <f>_xlfn.XLOOKUP(A:A,[3]Matriz!$E:$E,[3]Matriz!$FF:$FF)</f>
        <v>0</v>
      </c>
    </row>
    <row r="35" spans="1:11" x14ac:dyDescent="0.35">
      <c r="A35" s="12" t="s">
        <v>381</v>
      </c>
      <c r="B35" s="1" t="s">
        <v>133</v>
      </c>
      <c r="C35" s="1" t="s">
        <v>735</v>
      </c>
      <c r="D35" s="21">
        <f>_xlfn.XLOOKUP(C:C,'[1]Reporte Flexible de Personas - '!$B:$B,'[1]Reporte Flexible de Personas - '!$E:$E)</f>
        <v>46994</v>
      </c>
      <c r="E35" s="21">
        <f>_xlfn.XLOOKUP(C:C,'[1]Reporte Flexible de Personas - '!$B:$B,'[1]Reporte Flexible de Personas - '!$G:$G)</f>
        <v>47000</v>
      </c>
      <c r="F35" s="25">
        <f>_xlfn.XLOOKUP(C:C,'[1]Reporte Flexible de Personas - '!$B:$B,'[1]Reporte Flexible de Personas - '!$I:$I)</f>
        <v>46974</v>
      </c>
      <c r="G35" s="23">
        <f>_xlfn.XLOOKUP(C:C,[2]Planilla!$C:$C,[2]Planilla!$H:$H)</f>
        <v>47724</v>
      </c>
      <c r="H35" s="23">
        <f>_xlfn.XLOOKUP(C:C,[2]Planilla!$C:$C,[2]Planilla!$I:$I)</f>
        <v>46372</v>
      </c>
      <c r="I35" s="23">
        <f>_xlfn.XLOOKUP(C:C,[2]Planilla!$C:$C,[2]Planilla!$J:$J)</f>
        <v>47301</v>
      </c>
      <c r="J35" s="23">
        <f>_xlfn.XLOOKUP(A:A,[3]Matriz!$E:$E,[3]Matriz!$FD:$FD)</f>
        <v>0</v>
      </c>
      <c r="K35" s="23">
        <f>_xlfn.XLOOKUP(A:A,[3]Matriz!$E:$E,[3]Matriz!$FF:$FF)</f>
        <v>0</v>
      </c>
    </row>
    <row r="36" spans="1:11" x14ac:dyDescent="0.35">
      <c r="A36" s="12" t="s">
        <v>492</v>
      </c>
      <c r="B36" s="1" t="s">
        <v>493</v>
      </c>
      <c r="C36" s="1" t="s">
        <v>736</v>
      </c>
      <c r="D36" s="21" t="e">
        <f>_xlfn.XLOOKUP(C:C,'[1]Reporte Flexible de Personas - '!$B:$B,'[1]Reporte Flexible de Personas - '!$E:$E)</f>
        <v>#N/A</v>
      </c>
      <c r="E36" s="21" t="e">
        <f>_xlfn.XLOOKUP(C:C,'[1]Reporte Flexible de Personas - '!$B:$B,'[1]Reporte Flexible de Personas - '!$G:$G)</f>
        <v>#N/A</v>
      </c>
      <c r="F36" s="25" t="e">
        <f>_xlfn.XLOOKUP(C:C,'[1]Reporte Flexible de Personas - '!$B:$B,'[1]Reporte Flexible de Personas - '!$I:$I)</f>
        <v>#N/A</v>
      </c>
      <c r="G36" s="23" t="e">
        <f>_xlfn.XLOOKUP(C:C,[2]Planilla!$C:$C,[2]Planilla!$H:$H)</f>
        <v>#N/A</v>
      </c>
      <c r="H36" s="23" t="e">
        <f>_xlfn.XLOOKUP(C:C,[2]Planilla!$C:$C,[2]Planilla!$I:$I)</f>
        <v>#N/A</v>
      </c>
      <c r="I36" s="23" t="e">
        <f>_xlfn.XLOOKUP(C:C,[2]Planilla!$C:$C,[2]Planilla!$J:$J)</f>
        <v>#N/A</v>
      </c>
      <c r="J36" s="23">
        <f>_xlfn.XLOOKUP(A:A,[3]Matriz!$E:$E,[3]Matriz!$FD:$FD)</f>
        <v>0</v>
      </c>
      <c r="K36" s="23">
        <f>_xlfn.XLOOKUP(A:A,[3]Matriz!$E:$E,[3]Matriz!$FF:$FF)</f>
        <v>0</v>
      </c>
    </row>
    <row r="37" spans="1:11" x14ac:dyDescent="0.35">
      <c r="A37" s="12" t="s">
        <v>247</v>
      </c>
      <c r="B37" s="1" t="s">
        <v>2</v>
      </c>
      <c r="C37" s="1" t="s">
        <v>737</v>
      </c>
      <c r="D37" s="21">
        <f>_xlfn.XLOOKUP(C:C,'[1]Reporte Flexible de Personas - '!$B:$B,'[1]Reporte Flexible de Personas - '!$E:$E)</f>
        <v>49084</v>
      </c>
      <c r="E37" s="21">
        <f>_xlfn.XLOOKUP(C:C,'[1]Reporte Flexible de Personas - '!$B:$B,'[1]Reporte Flexible de Personas - '!$G:$G)</f>
        <v>46485</v>
      </c>
      <c r="F37" s="25">
        <f>_xlfn.XLOOKUP(C:C,'[1]Reporte Flexible de Personas - '!$B:$B,'[1]Reporte Flexible de Personas - '!$I:$I)</f>
        <v>47255</v>
      </c>
      <c r="G37" s="23">
        <f>_xlfn.XLOOKUP(C:C,[2]Planilla!$C:$C,[2]Planilla!$H:$H)</f>
        <v>47258</v>
      </c>
      <c r="H37" s="23">
        <f>_xlfn.XLOOKUP(C:C,[2]Planilla!$C:$C,[2]Planilla!$I:$I)</f>
        <v>47258</v>
      </c>
      <c r="I37" s="23">
        <f>_xlfn.XLOOKUP(C:C,[2]Planilla!$C:$C,[2]Planilla!$J:$J)</f>
        <v>47568</v>
      </c>
      <c r="J37" s="23">
        <f>_xlfn.XLOOKUP(A:A,[3]Matriz!$E:$E,[3]Matriz!$FD:$FD)</f>
        <v>0</v>
      </c>
      <c r="K37" s="23">
        <f>_xlfn.XLOOKUP(A:A,[3]Matriz!$E:$E,[3]Matriz!$FF:$FF)</f>
        <v>0</v>
      </c>
    </row>
    <row r="38" spans="1:11" x14ac:dyDescent="0.35">
      <c r="A38" s="12" t="s">
        <v>382</v>
      </c>
      <c r="B38" s="1" t="s">
        <v>134</v>
      </c>
      <c r="C38" s="1" t="s">
        <v>738</v>
      </c>
      <c r="D38" s="21">
        <f>_xlfn.XLOOKUP(C:C,'[1]Reporte Flexible de Personas - '!$B:$B,'[1]Reporte Flexible de Personas - '!$E:$E)</f>
        <v>46390</v>
      </c>
      <c r="E38" s="21">
        <f>_xlfn.XLOOKUP(C:C,'[1]Reporte Flexible de Personas - '!$B:$B,'[1]Reporte Flexible de Personas - '!$G:$G)</f>
        <v>46243</v>
      </c>
      <c r="F38" s="25">
        <f>_xlfn.XLOOKUP(C:C,'[1]Reporte Flexible de Personas - '!$B:$B,'[1]Reporte Flexible de Personas - '!$I:$I)</f>
        <v>46684</v>
      </c>
      <c r="G38" s="23">
        <f>_xlfn.XLOOKUP(C:C,[2]Planilla!$C:$C,[2]Planilla!$H:$H)</f>
        <v>46755</v>
      </c>
      <c r="H38" s="23">
        <f>_xlfn.XLOOKUP(C:C,[2]Planilla!$C:$C,[2]Planilla!$I:$I)</f>
        <v>46755</v>
      </c>
      <c r="I38" s="23">
        <f>_xlfn.XLOOKUP(C:C,[2]Planilla!$C:$C,[2]Planilla!$J:$J)</f>
        <v>47608</v>
      </c>
      <c r="J38" s="23">
        <f>_xlfn.XLOOKUP(A:A,[3]Matriz!$E:$E,[3]Matriz!$FD:$FD)</f>
        <v>0</v>
      </c>
      <c r="K38" s="23">
        <f>_xlfn.XLOOKUP(A:A,[3]Matriz!$E:$E,[3]Matriz!$FF:$FF)</f>
        <v>0</v>
      </c>
    </row>
    <row r="39" spans="1:11" x14ac:dyDescent="0.35">
      <c r="A39" s="12" t="s">
        <v>426</v>
      </c>
      <c r="B39" s="1" t="s">
        <v>84</v>
      </c>
      <c r="C39" s="1" t="s">
        <v>739</v>
      </c>
      <c r="D39" s="21">
        <f>_xlfn.XLOOKUP(C:C,'[1]Reporte Flexible de Personas - '!$B:$B,'[1]Reporte Flexible de Personas - '!$E:$E)</f>
        <v>47218</v>
      </c>
      <c r="E39" s="21">
        <f>_xlfn.XLOOKUP(C:C,'[1]Reporte Flexible de Personas - '!$B:$B,'[1]Reporte Flexible de Personas - '!$G:$G)</f>
        <v>46236</v>
      </c>
      <c r="F39" s="25">
        <f>_xlfn.XLOOKUP(C:C,'[1]Reporte Flexible de Personas - '!$B:$B,'[1]Reporte Flexible de Personas - '!$I:$I)</f>
        <v>47530</v>
      </c>
      <c r="G39" s="23" t="e">
        <f>_xlfn.XLOOKUP(C:C,[2]Planilla!$C:$C,[2]Planilla!$H:$H)</f>
        <v>#N/A</v>
      </c>
      <c r="H39" s="23" t="e">
        <f>_xlfn.XLOOKUP(C:C,[2]Planilla!$C:$C,[2]Planilla!$I:$I)</f>
        <v>#N/A</v>
      </c>
      <c r="I39" s="23" t="e">
        <f>_xlfn.XLOOKUP(C:C,[2]Planilla!$C:$C,[2]Planilla!$J:$J)</f>
        <v>#N/A</v>
      </c>
      <c r="J39" s="23">
        <f>_xlfn.XLOOKUP(A:A,[3]Matriz!$E:$E,[3]Matriz!$FD:$FD)</f>
        <v>0</v>
      </c>
      <c r="K39" s="23">
        <f>_xlfn.XLOOKUP(A:A,[3]Matriz!$E:$E,[3]Matriz!$FF:$FF)</f>
        <v>0</v>
      </c>
    </row>
    <row r="40" spans="1:11" x14ac:dyDescent="0.35">
      <c r="A40" s="14" t="s">
        <v>456</v>
      </c>
      <c r="B40" s="1" t="s">
        <v>85</v>
      </c>
      <c r="C40" s="1" t="s">
        <v>740</v>
      </c>
      <c r="D40" s="21">
        <f>_xlfn.XLOOKUP(C:C,'[1]Reporte Flexible de Personas - '!$B:$B,'[1]Reporte Flexible de Personas - '!$E:$E)</f>
        <v>46946</v>
      </c>
      <c r="E40" s="21">
        <f>_xlfn.XLOOKUP(C:C,'[1]Reporte Flexible de Personas - '!$B:$B,'[1]Reporte Flexible de Personas - '!$G:$G)</f>
        <v>46868</v>
      </c>
      <c r="F40" s="25">
        <f>_xlfn.XLOOKUP(C:C,'[1]Reporte Flexible de Personas - '!$B:$B,'[1]Reporte Flexible de Personas - '!$I:$I)</f>
        <v>46939</v>
      </c>
      <c r="G40" s="23" t="e">
        <f>_xlfn.XLOOKUP(C:C,[2]Planilla!$C:$C,[2]Planilla!$H:$H)</f>
        <v>#N/A</v>
      </c>
      <c r="H40" s="23" t="e">
        <f>_xlfn.XLOOKUP(C:C,[2]Planilla!$C:$C,[2]Planilla!$I:$I)</f>
        <v>#N/A</v>
      </c>
      <c r="I40" s="23" t="e">
        <f>_xlfn.XLOOKUP(C:C,[2]Planilla!$C:$C,[2]Planilla!$J:$J)</f>
        <v>#N/A</v>
      </c>
      <c r="J40" s="23">
        <f>_xlfn.XLOOKUP(A:A,[3]Matriz!$E:$E,[3]Matriz!$FD:$FD)</f>
        <v>0</v>
      </c>
      <c r="K40" s="23">
        <f>_xlfn.XLOOKUP(A:A,[3]Matriz!$E:$E,[3]Matriz!$FF:$FF)</f>
        <v>0</v>
      </c>
    </row>
    <row r="41" spans="1:11" x14ac:dyDescent="0.35">
      <c r="A41" s="12" t="s">
        <v>371</v>
      </c>
      <c r="B41" s="1" t="s">
        <v>86</v>
      </c>
      <c r="C41" s="1" t="s">
        <v>741</v>
      </c>
      <c r="D41" s="21">
        <f>_xlfn.XLOOKUP(C:C,'[1]Reporte Flexible de Personas - '!$B:$B,'[1]Reporte Flexible de Personas - '!$E:$E)</f>
        <v>48814</v>
      </c>
      <c r="E41" s="21">
        <f>_xlfn.XLOOKUP(C:C,'[1]Reporte Flexible de Personas - '!$B:$B,'[1]Reporte Flexible de Personas - '!$G:$G)</f>
        <v>46899</v>
      </c>
      <c r="F41" s="25">
        <f>_xlfn.XLOOKUP(C:C,'[1]Reporte Flexible de Personas - '!$B:$B,'[1]Reporte Flexible de Personas - '!$I:$I)</f>
        <v>46587</v>
      </c>
      <c r="G41" s="23" t="e">
        <f>_xlfn.XLOOKUP(C:C,[2]Planilla!$C:$C,[2]Planilla!$H:$H)</f>
        <v>#N/A</v>
      </c>
      <c r="H41" s="23" t="e">
        <f>_xlfn.XLOOKUP(C:C,[2]Planilla!$C:$C,[2]Planilla!$I:$I)</f>
        <v>#N/A</v>
      </c>
      <c r="I41" s="23" t="e">
        <f>_xlfn.XLOOKUP(C:C,[2]Planilla!$C:$C,[2]Planilla!$J:$J)</f>
        <v>#N/A</v>
      </c>
      <c r="J41" s="23">
        <f>_xlfn.XLOOKUP(A:A,[3]Matriz!$E:$E,[3]Matriz!$FD:$FD)</f>
        <v>0</v>
      </c>
      <c r="K41" s="23">
        <f>_xlfn.XLOOKUP(A:A,[3]Matriz!$E:$E,[3]Matriz!$FF:$FF)</f>
        <v>0</v>
      </c>
    </row>
    <row r="42" spans="1:11" x14ac:dyDescent="0.35">
      <c r="A42" s="12" t="s">
        <v>532</v>
      </c>
      <c r="B42" s="1" t="s">
        <v>32</v>
      </c>
      <c r="C42" s="1" t="s">
        <v>742</v>
      </c>
      <c r="D42" s="21">
        <f>_xlfn.XLOOKUP(C:C,'[1]Reporte Flexible de Personas - '!$B:$B,'[1]Reporte Flexible de Personas - '!$E:$E)</f>
        <v>48286</v>
      </c>
      <c r="E42" s="21">
        <f>_xlfn.XLOOKUP(C:C,'[1]Reporte Flexible de Personas - '!$B:$B,'[1]Reporte Flexible de Personas - '!$G:$G)</f>
        <v>46516</v>
      </c>
      <c r="F42" s="25">
        <f>_xlfn.XLOOKUP(C:C,'[1]Reporte Flexible de Personas - '!$B:$B,'[1]Reporte Flexible de Personas - '!$I:$I)</f>
        <v>46742</v>
      </c>
      <c r="G42" s="23">
        <f>_xlfn.XLOOKUP(C:C,[2]Planilla!$C:$C,[2]Planilla!$H:$H)</f>
        <v>47190</v>
      </c>
      <c r="H42" s="23">
        <f>_xlfn.XLOOKUP(C:C,[2]Planilla!$C:$C,[2]Planilla!$I:$I)</f>
        <v>47190</v>
      </c>
      <c r="I42" s="23">
        <f>_xlfn.XLOOKUP(C:C,[2]Planilla!$C:$C,[2]Planilla!$J:$J)</f>
        <v>46266</v>
      </c>
      <c r="J42" s="23">
        <f>_xlfn.XLOOKUP(A:A,[3]Matriz!$E:$E,[3]Matriz!$FD:$FD)</f>
        <v>46388</v>
      </c>
      <c r="K42" s="23">
        <f>_xlfn.XLOOKUP(A:A,[3]Matriz!$E:$E,[3]Matriz!$FF:$FF)</f>
        <v>46388</v>
      </c>
    </row>
    <row r="43" spans="1:11" x14ac:dyDescent="0.35">
      <c r="A43" s="12" t="s">
        <v>307</v>
      </c>
      <c r="B43" s="1" t="s">
        <v>135</v>
      </c>
      <c r="C43" s="1" t="s">
        <v>743</v>
      </c>
      <c r="D43" s="21">
        <f>_xlfn.XLOOKUP(C:C,'[1]Reporte Flexible de Personas - '!$B:$B,'[1]Reporte Flexible de Personas - '!$E:$E)</f>
        <v>46699</v>
      </c>
      <c r="E43" s="21">
        <f>_xlfn.XLOOKUP(C:C,'[1]Reporte Flexible de Personas - '!$B:$B,'[1]Reporte Flexible de Personas - '!$G:$G)</f>
        <v>46977</v>
      </c>
      <c r="F43" s="25">
        <f>_xlfn.XLOOKUP(C:C,'[1]Reporte Flexible de Personas - '!$B:$B,'[1]Reporte Flexible de Personas - '!$I:$I)</f>
        <v>46664</v>
      </c>
      <c r="G43" s="23" t="e">
        <f>_xlfn.XLOOKUP(C:C,[2]Planilla!$C:$C,[2]Planilla!$H:$H)</f>
        <v>#N/A</v>
      </c>
      <c r="H43" s="23" t="e">
        <f>_xlfn.XLOOKUP(C:C,[2]Planilla!$C:$C,[2]Planilla!$I:$I)</f>
        <v>#N/A</v>
      </c>
      <c r="I43" s="23" t="e">
        <f>_xlfn.XLOOKUP(C:C,[2]Planilla!$C:$C,[2]Planilla!$J:$J)</f>
        <v>#N/A</v>
      </c>
      <c r="J43" s="23">
        <f>_xlfn.XLOOKUP(A:A,[3]Matriz!$E:$E,[3]Matriz!$FD:$FD)</f>
        <v>46388</v>
      </c>
      <c r="K43" s="23">
        <f>_xlfn.XLOOKUP(A:A,[3]Matriz!$E:$E,[3]Matriz!$FF:$FF)</f>
        <v>0</v>
      </c>
    </row>
    <row r="44" spans="1:11" x14ac:dyDescent="0.35">
      <c r="A44" s="12" t="s">
        <v>337</v>
      </c>
      <c r="B44" s="1" t="s">
        <v>128</v>
      </c>
      <c r="C44" s="1" t="s">
        <v>744</v>
      </c>
      <c r="D44" s="21">
        <f>_xlfn.XLOOKUP(C:C,'[1]Reporte Flexible de Personas - '!$B:$B,'[1]Reporte Flexible de Personas - '!$E:$E)</f>
        <v>46228</v>
      </c>
      <c r="E44" s="21">
        <f>_xlfn.XLOOKUP(C:C,'[1]Reporte Flexible de Personas - '!$B:$B,'[1]Reporte Flexible de Personas - '!$G:$G)</f>
        <v>46243</v>
      </c>
      <c r="F44" s="25">
        <f>_xlfn.XLOOKUP(C:C,'[1]Reporte Flexible de Personas - '!$B:$B,'[1]Reporte Flexible de Personas - '!$I:$I)</f>
        <v>47382</v>
      </c>
      <c r="G44" s="23" t="e">
        <f>_xlfn.XLOOKUP(C:C,[2]Planilla!$C:$C,[2]Planilla!$H:$H)</f>
        <v>#N/A</v>
      </c>
      <c r="H44" s="23" t="e">
        <f>_xlfn.XLOOKUP(C:C,[2]Planilla!$C:$C,[2]Planilla!$I:$I)</f>
        <v>#N/A</v>
      </c>
      <c r="I44" s="23" t="e">
        <f>_xlfn.XLOOKUP(C:C,[2]Planilla!$C:$C,[2]Planilla!$J:$J)</f>
        <v>#N/A</v>
      </c>
      <c r="J44" s="23">
        <f>_xlfn.XLOOKUP(A:A,[3]Matriz!$E:$E,[3]Matriz!$FD:$FD)</f>
        <v>0</v>
      </c>
      <c r="K44" s="23">
        <f>_xlfn.XLOOKUP(A:A,[3]Matriz!$E:$E,[3]Matriz!$FF:$FF)</f>
        <v>0</v>
      </c>
    </row>
    <row r="45" spans="1:11" x14ac:dyDescent="0.35">
      <c r="A45" s="12" t="s">
        <v>300</v>
      </c>
      <c r="B45" s="1" t="s">
        <v>301</v>
      </c>
      <c r="C45" s="1" t="s">
        <v>745</v>
      </c>
      <c r="D45" s="21">
        <f>_xlfn.XLOOKUP(C:C,'[1]Reporte Flexible de Personas - '!$B:$B,'[1]Reporte Flexible de Personas - '!$E:$E)</f>
        <v>47222</v>
      </c>
      <c r="E45" s="21">
        <f>_xlfn.XLOOKUP(C:C,'[1]Reporte Flexible de Personas - '!$B:$B,'[1]Reporte Flexible de Personas - '!$G:$G)</f>
        <v>46355</v>
      </c>
      <c r="F45" s="25">
        <f>_xlfn.XLOOKUP(C:C,'[1]Reporte Flexible de Personas - '!$B:$B,'[1]Reporte Flexible de Personas - '!$I:$I)</f>
        <v>47390</v>
      </c>
      <c r="G45" s="23">
        <f>_xlfn.XLOOKUP(C:C,[2]Planilla!$C:$C,[2]Planilla!$H:$H)</f>
        <v>47587</v>
      </c>
      <c r="H45" s="23">
        <f>_xlfn.XLOOKUP(C:C,[2]Planilla!$C:$C,[2]Planilla!$I:$I)</f>
        <v>47587</v>
      </c>
      <c r="I45" s="23">
        <f>_xlfn.XLOOKUP(C:C,[2]Planilla!$C:$C,[2]Planilla!$J:$J)</f>
        <v>46999</v>
      </c>
      <c r="J45" s="23">
        <f>_xlfn.XLOOKUP(A:A,[3]Matriz!$E:$E,[3]Matriz!$FD:$FD)</f>
        <v>0</v>
      </c>
      <c r="K45" s="23">
        <f>_xlfn.XLOOKUP(A:A,[3]Matriz!$E:$E,[3]Matriz!$FF:$FF)</f>
        <v>0</v>
      </c>
    </row>
    <row r="46" spans="1:11" x14ac:dyDescent="0.35">
      <c r="A46" s="14" t="s">
        <v>385</v>
      </c>
      <c r="B46" s="1" t="s">
        <v>386</v>
      </c>
      <c r="C46" s="1" t="s">
        <v>746</v>
      </c>
      <c r="D46" s="21">
        <f>_xlfn.XLOOKUP(C:C,'[1]Reporte Flexible de Personas - '!$B:$B,'[1]Reporte Flexible de Personas - '!$E:$E)</f>
        <v>47159</v>
      </c>
      <c r="E46" s="21">
        <f>_xlfn.XLOOKUP(C:C,'[1]Reporte Flexible de Personas - '!$B:$B,'[1]Reporte Flexible de Personas - '!$G:$G)</f>
        <v>47201</v>
      </c>
      <c r="F46" s="25">
        <f>_xlfn.XLOOKUP(C:C,'[1]Reporte Flexible de Personas - '!$B:$B,'[1]Reporte Flexible de Personas - '!$I:$I)</f>
        <v>47270</v>
      </c>
      <c r="G46" s="23" t="e">
        <f>_xlfn.XLOOKUP(C:C,[2]Planilla!$C:$C,[2]Planilla!$H:$H)</f>
        <v>#N/A</v>
      </c>
      <c r="H46" s="23" t="e">
        <f>_xlfn.XLOOKUP(C:C,[2]Planilla!$C:$C,[2]Planilla!$I:$I)</f>
        <v>#N/A</v>
      </c>
      <c r="I46" s="23" t="e">
        <f>_xlfn.XLOOKUP(C:C,[2]Planilla!$C:$C,[2]Planilla!$J:$J)</f>
        <v>#N/A</v>
      </c>
      <c r="J46" s="23">
        <f>_xlfn.XLOOKUP(A:A,[3]Matriz!$E:$E,[3]Matriz!$FD:$FD)</f>
        <v>0</v>
      </c>
      <c r="K46" s="23">
        <f>_xlfn.XLOOKUP(A:A,[3]Matriz!$E:$E,[3]Matriz!$FF:$FF)</f>
        <v>0</v>
      </c>
    </row>
    <row r="47" spans="1:11" x14ac:dyDescent="0.35">
      <c r="A47" s="12" t="s">
        <v>431</v>
      </c>
      <c r="B47" s="1" t="s">
        <v>202</v>
      </c>
      <c r="C47" s="1" t="s">
        <v>747</v>
      </c>
      <c r="D47" s="21">
        <f>_xlfn.XLOOKUP(C:C,'[1]Reporte Flexible de Personas - '!$B:$B,'[1]Reporte Flexible de Personas - '!$E:$E)</f>
        <v>47346</v>
      </c>
      <c r="E47" s="21">
        <f>_xlfn.XLOOKUP(C:C,'[1]Reporte Flexible de Personas - '!$B:$B,'[1]Reporte Flexible de Personas - '!$G:$G)</f>
        <v>46564</v>
      </c>
      <c r="F47" s="25">
        <f>_xlfn.XLOOKUP(C:C,'[1]Reporte Flexible de Personas - '!$B:$B,'[1]Reporte Flexible de Personas - '!$I:$I)</f>
        <v>46608</v>
      </c>
      <c r="G47" s="23">
        <f>_xlfn.XLOOKUP(C:C,[2]Planilla!$C:$C,[2]Planilla!$H:$H)</f>
        <v>48076</v>
      </c>
      <c r="H47" s="23">
        <f>_xlfn.XLOOKUP(C:C,[2]Planilla!$C:$C,[2]Planilla!$I:$I)</f>
        <v>48076</v>
      </c>
      <c r="I47" s="23">
        <f>_xlfn.XLOOKUP(C:C,[2]Planilla!$C:$C,[2]Planilla!$J:$J)</f>
        <v>46198</v>
      </c>
      <c r="J47" s="23">
        <f>_xlfn.XLOOKUP(A:A,[3]Matriz!$E:$E,[3]Matriz!$FD:$FD)</f>
        <v>0</v>
      </c>
      <c r="K47" s="23">
        <f>_xlfn.XLOOKUP(A:A,[3]Matriz!$E:$E,[3]Matriz!$FF:$FF)</f>
        <v>0</v>
      </c>
    </row>
    <row r="48" spans="1:11" x14ac:dyDescent="0.35">
      <c r="A48" s="12" t="s">
        <v>313</v>
      </c>
      <c r="B48" s="1" t="s">
        <v>87</v>
      </c>
      <c r="C48" s="1" t="s">
        <v>748</v>
      </c>
      <c r="D48" s="21">
        <f>_xlfn.XLOOKUP(C:C,'[1]Reporte Flexible de Personas - '!$B:$B,'[1]Reporte Flexible de Personas - '!$E:$E)</f>
        <v>48263</v>
      </c>
      <c r="E48" s="21">
        <f>_xlfn.XLOOKUP(C:C,'[1]Reporte Flexible de Personas - '!$B:$B,'[1]Reporte Flexible de Personas - '!$G:$G)</f>
        <v>46446</v>
      </c>
      <c r="F48" s="25">
        <f>_xlfn.XLOOKUP(C:C,'[1]Reporte Flexible de Personas - '!$B:$B,'[1]Reporte Flexible de Personas - '!$I:$I)</f>
        <v>47538</v>
      </c>
      <c r="G48" s="23" t="e">
        <f>_xlfn.XLOOKUP(C:C,[2]Planilla!$C:$C,[2]Planilla!$H:$H)</f>
        <v>#N/A</v>
      </c>
      <c r="H48" s="23" t="e">
        <f>_xlfn.XLOOKUP(C:C,[2]Planilla!$C:$C,[2]Planilla!$I:$I)</f>
        <v>#N/A</v>
      </c>
      <c r="I48" s="23" t="e">
        <f>_xlfn.XLOOKUP(C:C,[2]Planilla!$C:$C,[2]Planilla!$J:$J)</f>
        <v>#N/A</v>
      </c>
      <c r="J48" s="23">
        <f>_xlfn.XLOOKUP(A:A,[3]Matriz!$E:$E,[3]Matriz!$FD:$FD)</f>
        <v>0</v>
      </c>
      <c r="K48" s="23">
        <f>_xlfn.XLOOKUP(A:A,[3]Matriz!$E:$E,[3]Matriz!$FF:$FF)</f>
        <v>0</v>
      </c>
    </row>
    <row r="49" spans="1:11" x14ac:dyDescent="0.35">
      <c r="A49" s="12" t="s">
        <v>410</v>
      </c>
      <c r="B49" s="1" t="s">
        <v>33</v>
      </c>
      <c r="C49" s="1" t="s">
        <v>749</v>
      </c>
      <c r="D49" s="21">
        <f>_xlfn.XLOOKUP(C:C,'[1]Reporte Flexible de Personas - '!$B:$B,'[1]Reporte Flexible de Personas - '!$E:$E)</f>
        <v>47960</v>
      </c>
      <c r="E49" s="21">
        <f>_xlfn.XLOOKUP(C:C,'[1]Reporte Flexible de Personas - '!$B:$B,'[1]Reporte Flexible de Personas - '!$G:$G)</f>
        <v>46571</v>
      </c>
      <c r="F49" s="25">
        <f>_xlfn.XLOOKUP(C:C,'[1]Reporte Flexible de Personas - '!$B:$B,'[1]Reporte Flexible de Personas - '!$I:$I)</f>
        <v>46561</v>
      </c>
      <c r="G49" s="23" t="e">
        <f>_xlfn.XLOOKUP(C:C,[2]Planilla!$C:$C,[2]Planilla!$H:$H)</f>
        <v>#N/A</v>
      </c>
      <c r="H49" s="23" t="e">
        <f>_xlfn.XLOOKUP(C:C,[2]Planilla!$C:$C,[2]Planilla!$I:$I)</f>
        <v>#N/A</v>
      </c>
      <c r="I49" s="23" t="e">
        <f>_xlfn.XLOOKUP(C:C,[2]Planilla!$C:$C,[2]Planilla!$J:$J)</f>
        <v>#N/A</v>
      </c>
      <c r="J49" s="23">
        <f>_xlfn.XLOOKUP(A:A,[3]Matriz!$E:$E,[3]Matriz!$FD:$FD)</f>
        <v>0</v>
      </c>
      <c r="K49" s="23">
        <f>_xlfn.XLOOKUP(A:A,[3]Matriz!$E:$E,[3]Matriz!$FF:$FF)</f>
        <v>0</v>
      </c>
    </row>
    <row r="50" spans="1:11" x14ac:dyDescent="0.35">
      <c r="A50" s="12" t="s">
        <v>451</v>
      </c>
      <c r="B50" s="1" t="s">
        <v>78</v>
      </c>
      <c r="C50" s="1" t="s">
        <v>750</v>
      </c>
      <c r="D50" s="21">
        <f>_xlfn.XLOOKUP(C:C,'[1]Reporte Flexible de Personas - '!$B:$B,'[1]Reporte Flexible de Personas - '!$E:$E)</f>
        <v>48034</v>
      </c>
      <c r="E50" s="21">
        <f>_xlfn.XLOOKUP(C:C,'[1]Reporte Flexible de Personas - '!$B:$B,'[1]Reporte Flexible de Personas - '!$G:$G)</f>
        <v>46254</v>
      </c>
      <c r="F50" s="25">
        <f>_xlfn.XLOOKUP(C:C,'[1]Reporte Flexible de Personas - '!$B:$B,'[1]Reporte Flexible de Personas - '!$I:$I)</f>
        <v>47418</v>
      </c>
      <c r="G50" s="23" t="e">
        <f>_xlfn.XLOOKUP(C:C,[2]Planilla!$C:$C,[2]Planilla!$H:$H)</f>
        <v>#N/A</v>
      </c>
      <c r="H50" s="23" t="e">
        <f>_xlfn.XLOOKUP(C:C,[2]Planilla!$C:$C,[2]Planilla!$I:$I)</f>
        <v>#N/A</v>
      </c>
      <c r="I50" s="23" t="e">
        <f>_xlfn.XLOOKUP(C:C,[2]Planilla!$C:$C,[2]Planilla!$J:$J)</f>
        <v>#N/A</v>
      </c>
      <c r="J50" s="23">
        <f>_xlfn.XLOOKUP(A:A,[3]Matriz!$E:$E,[3]Matriz!$FD:$FD)</f>
        <v>0</v>
      </c>
      <c r="K50" s="23">
        <f>_xlfn.XLOOKUP(A:A,[3]Matriz!$E:$E,[3]Matriz!$FF:$FF)</f>
        <v>0</v>
      </c>
    </row>
    <row r="51" spans="1:11" x14ac:dyDescent="0.35">
      <c r="A51" s="12" t="s">
        <v>345</v>
      </c>
      <c r="B51" s="1" t="s">
        <v>156</v>
      </c>
      <c r="C51" s="1" t="s">
        <v>751</v>
      </c>
      <c r="D51" s="21">
        <f>_xlfn.XLOOKUP(C:C,'[1]Reporte Flexible de Personas - '!$B:$B,'[1]Reporte Flexible de Personas - '!$E:$E)</f>
        <v>48548</v>
      </c>
      <c r="E51" s="21">
        <f>_xlfn.XLOOKUP(C:C,'[1]Reporte Flexible de Personas - '!$B:$B,'[1]Reporte Flexible de Personas - '!$G:$G)</f>
        <v>46761</v>
      </c>
      <c r="F51" s="25">
        <f>_xlfn.XLOOKUP(C:C,'[1]Reporte Flexible de Personas - '!$B:$B,'[1]Reporte Flexible de Personas - '!$I:$I)</f>
        <v>46370</v>
      </c>
      <c r="G51" s="23" t="e">
        <f>_xlfn.XLOOKUP(C:C,[2]Planilla!$C:$C,[2]Planilla!$H:$H)</f>
        <v>#N/A</v>
      </c>
      <c r="H51" s="23" t="e">
        <f>_xlfn.XLOOKUP(C:C,[2]Planilla!$C:$C,[2]Planilla!$I:$I)</f>
        <v>#N/A</v>
      </c>
      <c r="I51" s="23" t="e">
        <f>_xlfn.XLOOKUP(C:C,[2]Planilla!$C:$C,[2]Planilla!$J:$J)</f>
        <v>#N/A</v>
      </c>
      <c r="J51" s="23">
        <f>_xlfn.XLOOKUP(A:A,[3]Matriz!$E:$E,[3]Matriz!$FD:$FD)</f>
        <v>0</v>
      </c>
      <c r="K51" s="23">
        <f>_xlfn.XLOOKUP(A:A,[3]Matriz!$E:$E,[3]Matriz!$FF:$FF)</f>
        <v>0</v>
      </c>
    </row>
    <row r="52" spans="1:11" x14ac:dyDescent="0.35">
      <c r="A52" s="14" t="s">
        <v>334</v>
      </c>
      <c r="B52" s="1" t="s">
        <v>8</v>
      </c>
      <c r="C52" s="1" t="s">
        <v>752</v>
      </c>
      <c r="D52" s="21">
        <f>_xlfn.XLOOKUP(C:C,'[1]Reporte Flexible de Personas - '!$B:$B,'[1]Reporte Flexible de Personas - '!$E:$E)</f>
        <v>48822</v>
      </c>
      <c r="E52" s="21">
        <f>_xlfn.XLOOKUP(C:C,'[1]Reporte Flexible de Personas - '!$B:$B,'[1]Reporte Flexible de Personas - '!$G:$G)</f>
        <v>46334</v>
      </c>
      <c r="F52" s="25">
        <f>_xlfn.XLOOKUP(C:C,'[1]Reporte Flexible de Personas - '!$B:$B,'[1]Reporte Flexible de Personas - '!$I:$I)</f>
        <v>46889</v>
      </c>
      <c r="G52" s="23" t="e">
        <f>_xlfn.XLOOKUP(C:C,[2]Planilla!$C:$C,[2]Planilla!$H:$H)</f>
        <v>#N/A</v>
      </c>
      <c r="H52" s="23" t="e">
        <f>_xlfn.XLOOKUP(C:C,[2]Planilla!$C:$C,[2]Planilla!$I:$I)</f>
        <v>#N/A</v>
      </c>
      <c r="I52" s="23" t="e">
        <f>_xlfn.XLOOKUP(C:C,[2]Planilla!$C:$C,[2]Planilla!$J:$J)</f>
        <v>#N/A</v>
      </c>
      <c r="J52" s="23">
        <f>_xlfn.XLOOKUP(A:A,[3]Matriz!$E:$E,[3]Matriz!$FD:$FD)</f>
        <v>0</v>
      </c>
      <c r="K52" s="23">
        <f>_xlfn.XLOOKUP(A:A,[3]Matriz!$E:$E,[3]Matriz!$FF:$FF)</f>
        <v>46388</v>
      </c>
    </row>
    <row r="53" spans="1:11" x14ac:dyDescent="0.35">
      <c r="A53" s="12" t="s">
        <v>422</v>
      </c>
      <c r="B53" s="1" t="s">
        <v>157</v>
      </c>
      <c r="C53" s="1" t="s">
        <v>753</v>
      </c>
      <c r="D53" s="21">
        <f>_xlfn.XLOOKUP(C:C,'[1]Reporte Flexible de Personas - '!$B:$B,'[1]Reporte Flexible de Personas - '!$E:$E)</f>
        <v>48956</v>
      </c>
      <c r="E53" s="21">
        <f>_xlfn.XLOOKUP(C:C,'[1]Reporte Flexible de Personas - '!$B:$B,'[1]Reporte Flexible de Personas - '!$G:$G)</f>
        <v>46751</v>
      </c>
      <c r="F53" s="25">
        <f>_xlfn.XLOOKUP(C:C,'[1]Reporte Flexible de Personas - '!$B:$B,'[1]Reporte Flexible de Personas - '!$I:$I)</f>
        <v>47003</v>
      </c>
      <c r="G53" s="23">
        <f>_xlfn.XLOOKUP(C:C,[2]Planilla!$C:$C,[2]Planilla!$H:$H)</f>
        <v>46764</v>
      </c>
      <c r="H53" s="23">
        <f>_xlfn.XLOOKUP(C:C,[2]Planilla!$C:$C,[2]Planilla!$I:$I)</f>
        <v>46764</v>
      </c>
      <c r="I53" s="23">
        <f>_xlfn.XLOOKUP(C:C,[2]Planilla!$C:$C,[2]Planilla!$J:$J)</f>
        <v>46494</v>
      </c>
      <c r="J53" s="23">
        <f>_xlfn.XLOOKUP(A:A,[3]Matriz!$E:$E,[3]Matriz!$FD:$FD)</f>
        <v>0</v>
      </c>
      <c r="K53" s="23">
        <f>_xlfn.XLOOKUP(A:A,[3]Matriz!$E:$E,[3]Matriz!$FF:$FF)</f>
        <v>0</v>
      </c>
    </row>
    <row r="54" spans="1:11" x14ac:dyDescent="0.35">
      <c r="A54" s="12" t="s">
        <v>528</v>
      </c>
      <c r="B54" s="1" t="s">
        <v>203</v>
      </c>
      <c r="C54" s="1" t="s">
        <v>754</v>
      </c>
      <c r="D54" s="21">
        <f>_xlfn.XLOOKUP(C:C,'[1]Reporte Flexible de Personas - '!$B:$B,'[1]Reporte Flexible de Personas - '!$E:$E)</f>
        <v>46953</v>
      </c>
      <c r="E54" s="21">
        <f>_xlfn.XLOOKUP(C:C,'[1]Reporte Flexible de Personas - '!$B:$B,'[1]Reporte Flexible de Personas - '!$G:$G)</f>
        <v>46542</v>
      </c>
      <c r="F54" s="25">
        <f>_xlfn.XLOOKUP(C:C,'[1]Reporte Flexible de Personas - '!$B:$B,'[1]Reporte Flexible de Personas - '!$I:$I)</f>
        <v>46575</v>
      </c>
      <c r="G54" s="23">
        <f>_xlfn.XLOOKUP(C:C,[2]Planilla!$C:$C,[2]Planilla!$H:$H)</f>
        <v>46222</v>
      </c>
      <c r="H54" s="23">
        <f>_xlfn.XLOOKUP(C:C,[2]Planilla!$C:$C,[2]Planilla!$I:$I)</f>
        <v>46176</v>
      </c>
      <c r="I54" s="23">
        <f>_xlfn.XLOOKUP(C:C,[2]Planilla!$C:$C,[2]Planilla!$J:$J)</f>
        <v>46312</v>
      </c>
      <c r="J54" s="23">
        <f>_xlfn.XLOOKUP(A:A,[3]Matriz!$E:$E,[3]Matriz!$FD:$FD)</f>
        <v>0</v>
      </c>
      <c r="K54" s="23">
        <f>_xlfn.XLOOKUP(A:A,[3]Matriz!$E:$E,[3]Matriz!$FF:$FF)</f>
        <v>46388</v>
      </c>
    </row>
    <row r="55" spans="1:11" x14ac:dyDescent="0.35">
      <c r="A55" s="12" t="s">
        <v>412</v>
      </c>
      <c r="B55" s="1" t="s">
        <v>34</v>
      </c>
      <c r="C55" s="1" t="s">
        <v>755</v>
      </c>
      <c r="D55" s="21">
        <f>_xlfn.XLOOKUP(C:C,'[1]Reporte Flexible de Personas - '!$B:$B,'[1]Reporte Flexible de Personas - '!$E:$E)</f>
        <v>49264</v>
      </c>
      <c r="E55" s="21">
        <f>_xlfn.XLOOKUP(C:C,'[1]Reporte Flexible de Personas - '!$B:$B,'[1]Reporte Flexible de Personas - '!$G:$G)</f>
        <v>46922</v>
      </c>
      <c r="F55" s="25">
        <f>_xlfn.XLOOKUP(C:C,'[1]Reporte Flexible de Personas - '!$B:$B,'[1]Reporte Flexible de Personas - '!$I:$I)</f>
        <v>47204</v>
      </c>
      <c r="G55" s="23" t="e">
        <f>_xlfn.XLOOKUP(C:C,[2]Planilla!$C:$C,[2]Planilla!$H:$H)</f>
        <v>#N/A</v>
      </c>
      <c r="H55" s="23" t="e">
        <f>_xlfn.XLOOKUP(C:C,[2]Planilla!$C:$C,[2]Planilla!$I:$I)</f>
        <v>#N/A</v>
      </c>
      <c r="I55" s="23" t="e">
        <f>_xlfn.XLOOKUP(C:C,[2]Planilla!$C:$C,[2]Planilla!$J:$J)</f>
        <v>#N/A</v>
      </c>
      <c r="J55" s="23">
        <f>_xlfn.XLOOKUP(A:A,[3]Matriz!$E:$E,[3]Matriz!$FD:$FD)</f>
        <v>0</v>
      </c>
      <c r="K55" s="23">
        <f>_xlfn.XLOOKUP(A:A,[3]Matriz!$E:$E,[3]Matriz!$FF:$FF)</f>
        <v>0</v>
      </c>
    </row>
    <row r="56" spans="1:11" x14ac:dyDescent="0.35">
      <c r="A56" s="12" t="s">
        <v>600</v>
      </c>
      <c r="B56" s="1" t="s">
        <v>599</v>
      </c>
      <c r="C56" s="1" t="s">
        <v>756</v>
      </c>
      <c r="D56" s="21" t="e">
        <f>_xlfn.XLOOKUP(C:C,'[1]Reporte Flexible de Personas - '!$B:$B,'[1]Reporte Flexible de Personas - '!$E:$E)</f>
        <v>#N/A</v>
      </c>
      <c r="E56" s="21" t="e">
        <f>_xlfn.XLOOKUP(C:C,'[1]Reporte Flexible de Personas - '!$B:$B,'[1]Reporte Flexible de Personas - '!$G:$G)</f>
        <v>#N/A</v>
      </c>
      <c r="F56" s="25" t="e">
        <f>_xlfn.XLOOKUP(C:C,'[1]Reporte Flexible de Personas - '!$B:$B,'[1]Reporte Flexible de Personas - '!$I:$I)</f>
        <v>#N/A</v>
      </c>
      <c r="G56" s="23" t="e">
        <f>_xlfn.XLOOKUP(C:C,[2]Planilla!$C:$C,[2]Planilla!$H:$H)</f>
        <v>#N/A</v>
      </c>
      <c r="H56" s="23" t="e">
        <f>_xlfn.XLOOKUP(C:C,[2]Planilla!$C:$C,[2]Planilla!$I:$I)</f>
        <v>#N/A</v>
      </c>
      <c r="I56" s="23" t="e">
        <f>_xlfn.XLOOKUP(C:C,[2]Planilla!$C:$C,[2]Planilla!$J:$J)</f>
        <v>#N/A</v>
      </c>
      <c r="J56" s="23">
        <f>_xlfn.XLOOKUP(A:A,[3]Matriz!$E:$E,[3]Matriz!$FD:$FD)</f>
        <v>0</v>
      </c>
      <c r="K56" s="23">
        <f>_xlfn.XLOOKUP(A:A,[3]Matriz!$E:$E,[3]Matriz!$FF:$FF)</f>
        <v>0</v>
      </c>
    </row>
    <row r="57" spans="1:11" x14ac:dyDescent="0.35">
      <c r="A57" s="12" t="s">
        <v>449</v>
      </c>
      <c r="B57" s="1" t="s">
        <v>158</v>
      </c>
      <c r="C57" s="1" t="s">
        <v>757</v>
      </c>
      <c r="D57" s="21">
        <f>_xlfn.XLOOKUP(C:C,'[1]Reporte Flexible de Personas - '!$B:$B,'[1]Reporte Flexible de Personas - '!$E:$E)</f>
        <v>49616</v>
      </c>
      <c r="E57" s="21">
        <f>_xlfn.XLOOKUP(C:C,'[1]Reporte Flexible de Personas - '!$B:$B,'[1]Reporte Flexible de Personas - '!$G:$G)</f>
        <v>46845</v>
      </c>
      <c r="F57" s="25">
        <f>_xlfn.XLOOKUP(C:C,'[1]Reporte Flexible de Personas - '!$B:$B,'[1]Reporte Flexible de Personas - '!$I:$I)</f>
        <v>47558</v>
      </c>
      <c r="G57" s="23">
        <f>_xlfn.XLOOKUP(C:C,[2]Planilla!$C:$C,[2]Planilla!$H:$H)</f>
        <v>46329</v>
      </c>
      <c r="H57" s="23">
        <f>_xlfn.XLOOKUP(C:C,[2]Planilla!$C:$C,[2]Planilla!$I:$I)</f>
        <v>46329</v>
      </c>
      <c r="I57" s="23">
        <f>_xlfn.XLOOKUP(C:C,[2]Planilla!$C:$C,[2]Planilla!$J:$J)</f>
        <v>46636</v>
      </c>
      <c r="J57" s="23">
        <f>_xlfn.XLOOKUP(A:A,[3]Matriz!$E:$E,[3]Matriz!$FD:$FD)</f>
        <v>0</v>
      </c>
      <c r="K57" s="23">
        <f>_xlfn.XLOOKUP(A:A,[3]Matriz!$E:$E,[3]Matriz!$FF:$FF)</f>
        <v>0</v>
      </c>
    </row>
    <row r="58" spans="1:11" x14ac:dyDescent="0.35">
      <c r="A58" s="12" t="s">
        <v>407</v>
      </c>
      <c r="B58" s="1" t="s">
        <v>159</v>
      </c>
      <c r="C58" s="1" t="s">
        <v>758</v>
      </c>
      <c r="D58" s="21">
        <f>_xlfn.XLOOKUP(C:C,'[1]Reporte Flexible de Personas - '!$B:$B,'[1]Reporte Flexible de Personas - '!$E:$E)</f>
        <v>49790</v>
      </c>
      <c r="E58" s="21">
        <f>_xlfn.XLOOKUP(C:C,'[1]Reporte Flexible de Personas - '!$B:$B,'[1]Reporte Flexible de Personas - '!$G:$G)</f>
        <v>46430</v>
      </c>
      <c r="F58" s="25">
        <f>_xlfn.XLOOKUP(C:C,'[1]Reporte Flexible de Personas - '!$B:$B,'[1]Reporte Flexible de Personas - '!$I:$I)</f>
        <v>47443</v>
      </c>
      <c r="G58" s="23" t="e">
        <f>_xlfn.XLOOKUP(C:C,[2]Planilla!$C:$C,[2]Planilla!$H:$H)</f>
        <v>#N/A</v>
      </c>
      <c r="H58" s="23" t="e">
        <f>_xlfn.XLOOKUP(C:C,[2]Planilla!$C:$C,[2]Planilla!$I:$I)</f>
        <v>#N/A</v>
      </c>
      <c r="I58" s="23" t="e">
        <f>_xlfn.XLOOKUP(C:C,[2]Planilla!$C:$C,[2]Planilla!$J:$J)</f>
        <v>#N/A</v>
      </c>
      <c r="J58" s="23">
        <f>_xlfn.XLOOKUP(A:A,[3]Matriz!$E:$E,[3]Matriz!$FD:$FD)</f>
        <v>0</v>
      </c>
      <c r="K58" s="23">
        <f>_xlfn.XLOOKUP(A:A,[3]Matriz!$E:$E,[3]Matriz!$FF:$FF)</f>
        <v>0</v>
      </c>
    </row>
    <row r="59" spans="1:11" x14ac:dyDescent="0.35">
      <c r="A59" s="12" t="s">
        <v>309</v>
      </c>
      <c r="B59" s="1" t="s">
        <v>35</v>
      </c>
      <c r="C59" s="1" t="s">
        <v>759</v>
      </c>
      <c r="D59" s="21">
        <f>_xlfn.XLOOKUP(C:C,'[1]Reporte Flexible de Personas - '!$B:$B,'[1]Reporte Flexible de Personas - '!$E:$E)</f>
        <v>46409</v>
      </c>
      <c r="E59" s="21">
        <f>_xlfn.XLOOKUP(C:C,'[1]Reporte Flexible de Personas - '!$B:$B,'[1]Reporte Flexible de Personas - '!$G:$G)</f>
        <v>46423</v>
      </c>
      <c r="F59" s="25">
        <f>_xlfn.XLOOKUP(C:C,'[1]Reporte Flexible de Personas - '!$B:$B,'[1]Reporte Flexible de Personas - '!$I:$I)</f>
        <v>46433</v>
      </c>
      <c r="G59" s="23" t="e">
        <f>_xlfn.XLOOKUP(C:C,[2]Planilla!$C:$C,[2]Planilla!$H:$H)</f>
        <v>#N/A</v>
      </c>
      <c r="H59" s="23" t="e">
        <f>_xlfn.XLOOKUP(C:C,[2]Planilla!$C:$C,[2]Planilla!$I:$I)</f>
        <v>#N/A</v>
      </c>
      <c r="I59" s="23" t="e">
        <f>_xlfn.XLOOKUP(C:C,[2]Planilla!$C:$C,[2]Planilla!$J:$J)</f>
        <v>#N/A</v>
      </c>
      <c r="J59" s="23">
        <f>_xlfn.XLOOKUP(A:A,[3]Matriz!$E:$E,[3]Matriz!$FD:$FD)</f>
        <v>0</v>
      </c>
      <c r="K59" s="23">
        <f>_xlfn.XLOOKUP(A:A,[3]Matriz!$E:$E,[3]Matriz!$FF:$FF)</f>
        <v>0</v>
      </c>
    </row>
    <row r="60" spans="1:11" x14ac:dyDescent="0.35">
      <c r="A60" s="12" t="s">
        <v>347</v>
      </c>
      <c r="B60" s="1" t="s">
        <v>136</v>
      </c>
      <c r="C60" s="1" t="s">
        <v>760</v>
      </c>
      <c r="D60" s="21" t="e">
        <f>_xlfn.XLOOKUP(C:C,'[1]Reporte Flexible de Personas - '!$B:$B,'[1]Reporte Flexible de Personas - '!$E:$E)</f>
        <v>#N/A</v>
      </c>
      <c r="E60" s="21" t="e">
        <f>_xlfn.XLOOKUP(C:C,'[1]Reporte Flexible de Personas - '!$B:$B,'[1]Reporte Flexible de Personas - '!$G:$G)</f>
        <v>#N/A</v>
      </c>
      <c r="F60" s="25" t="e">
        <f>_xlfn.XLOOKUP(C:C,'[1]Reporte Flexible de Personas - '!$B:$B,'[1]Reporte Flexible de Personas - '!$I:$I)</f>
        <v>#N/A</v>
      </c>
      <c r="G60" s="23">
        <f>_xlfn.XLOOKUP(C:C,[2]Planilla!$C:$C,[2]Planilla!$H:$H)</f>
        <v>48460</v>
      </c>
      <c r="H60" s="23">
        <f>_xlfn.XLOOKUP(C:C,[2]Planilla!$C:$C,[2]Planilla!$I:$I)</f>
        <v>45903</v>
      </c>
      <c r="I60" s="23">
        <f>_xlfn.XLOOKUP(C:C,[2]Planilla!$C:$C,[2]Planilla!$J:$J)</f>
        <v>45836</v>
      </c>
      <c r="J60" s="23">
        <f>_xlfn.XLOOKUP(A:A,[3]Matriz!$E:$E,[3]Matriz!$FD:$FD)</f>
        <v>0</v>
      </c>
      <c r="K60" s="23">
        <f>_xlfn.XLOOKUP(A:A,[3]Matriz!$E:$E,[3]Matriz!$FF:$FF)</f>
        <v>0</v>
      </c>
    </row>
    <row r="61" spans="1:11" x14ac:dyDescent="0.35">
      <c r="A61" s="12" t="s">
        <v>342</v>
      </c>
      <c r="B61" s="1" t="s">
        <v>160</v>
      </c>
      <c r="C61" s="1" t="s">
        <v>761</v>
      </c>
      <c r="D61" s="21">
        <f>_xlfn.XLOOKUP(C:C,'[1]Reporte Flexible de Personas - '!$B:$B,'[1]Reporte Flexible de Personas - '!$E:$E)</f>
        <v>49312</v>
      </c>
      <c r="E61" s="21">
        <f>_xlfn.XLOOKUP(C:C,'[1]Reporte Flexible de Personas - '!$B:$B,'[1]Reporte Flexible de Personas - '!$G:$G)</f>
        <v>46597</v>
      </c>
      <c r="F61" s="25">
        <f>_xlfn.XLOOKUP(C:C,'[1]Reporte Flexible de Personas - '!$B:$B,'[1]Reporte Flexible de Personas - '!$I:$I)</f>
        <v>46628</v>
      </c>
      <c r="G61" s="23" t="e">
        <f>_xlfn.XLOOKUP(C:C,[2]Planilla!$C:$C,[2]Planilla!$H:$H)</f>
        <v>#N/A</v>
      </c>
      <c r="H61" s="23" t="e">
        <f>_xlfn.XLOOKUP(C:C,[2]Planilla!$C:$C,[2]Planilla!$I:$I)</f>
        <v>#N/A</v>
      </c>
      <c r="I61" s="23" t="e">
        <f>_xlfn.XLOOKUP(C:C,[2]Planilla!$C:$C,[2]Planilla!$J:$J)</f>
        <v>#N/A</v>
      </c>
      <c r="J61" s="23">
        <f>_xlfn.XLOOKUP(A:A,[3]Matriz!$E:$E,[3]Matriz!$FD:$FD)</f>
        <v>0</v>
      </c>
      <c r="K61" s="23">
        <f>_xlfn.XLOOKUP(A:A,[3]Matriz!$E:$E,[3]Matriz!$FF:$FF)</f>
        <v>0</v>
      </c>
    </row>
    <row r="62" spans="1:11" x14ac:dyDescent="0.35">
      <c r="A62" s="12" t="s">
        <v>434</v>
      </c>
      <c r="B62" s="8" t="s">
        <v>145</v>
      </c>
      <c r="C62" s="8" t="s">
        <v>762</v>
      </c>
      <c r="D62" s="21" t="e">
        <f>_xlfn.XLOOKUP(C:C,'[1]Reporte Flexible de Personas - '!$B:$B,'[1]Reporte Flexible de Personas - '!$E:$E)</f>
        <v>#N/A</v>
      </c>
      <c r="E62" s="21" t="e">
        <f>_xlfn.XLOOKUP(C:C,'[1]Reporte Flexible de Personas - '!$B:$B,'[1]Reporte Flexible de Personas - '!$G:$G)</f>
        <v>#N/A</v>
      </c>
      <c r="F62" s="25" t="e">
        <f>_xlfn.XLOOKUP(C:C,'[1]Reporte Flexible de Personas - '!$B:$B,'[1]Reporte Flexible de Personas - '!$I:$I)</f>
        <v>#N/A</v>
      </c>
      <c r="G62" s="23">
        <f>_xlfn.XLOOKUP(C:C,[2]Planilla!$C:$C,[2]Planilla!$H:$H)</f>
        <v>47485</v>
      </c>
      <c r="H62" s="23">
        <f>_xlfn.XLOOKUP(C:C,[2]Planilla!$C:$C,[2]Planilla!$I:$I)</f>
        <v>46242</v>
      </c>
      <c r="I62" s="23">
        <f>_xlfn.XLOOKUP(C:C,[2]Planilla!$C:$C,[2]Planilla!$J:$J)</f>
        <v>46242</v>
      </c>
      <c r="J62" s="23">
        <f>_xlfn.XLOOKUP(A:A,[3]Matriz!$E:$E,[3]Matriz!$FD:$FD)</f>
        <v>0</v>
      </c>
      <c r="K62" s="23">
        <f>_xlfn.XLOOKUP(A:A,[3]Matriz!$E:$E,[3]Matriz!$FF:$FF)</f>
        <v>0</v>
      </c>
    </row>
    <row r="63" spans="1:11" x14ac:dyDescent="0.35">
      <c r="A63" s="12" t="s">
        <v>517</v>
      </c>
      <c r="B63" s="1" t="s">
        <v>88</v>
      </c>
      <c r="C63" s="1" t="s">
        <v>763</v>
      </c>
      <c r="D63" s="21">
        <f>_xlfn.XLOOKUP(C:C,'[1]Reporte Flexible de Personas - '!$B:$B,'[1]Reporte Flexible de Personas - '!$E:$E)</f>
        <v>48550</v>
      </c>
      <c r="E63" s="21">
        <f>_xlfn.XLOOKUP(C:C,'[1]Reporte Flexible de Personas - '!$B:$B,'[1]Reporte Flexible de Personas - '!$G:$G)</f>
        <v>46922</v>
      </c>
      <c r="F63" s="25">
        <f>_xlfn.XLOOKUP(C:C,'[1]Reporte Flexible de Personas - '!$B:$B,'[1]Reporte Flexible de Personas - '!$I:$I)</f>
        <v>47244</v>
      </c>
      <c r="G63" s="23" t="e">
        <f>_xlfn.XLOOKUP(C:C,[2]Planilla!$C:$C,[2]Planilla!$H:$H)</f>
        <v>#N/A</v>
      </c>
      <c r="H63" s="23" t="e">
        <f>_xlfn.XLOOKUP(C:C,[2]Planilla!$C:$C,[2]Planilla!$I:$I)</f>
        <v>#N/A</v>
      </c>
      <c r="I63" s="23" t="e">
        <f>_xlfn.XLOOKUP(C:C,[2]Planilla!$C:$C,[2]Planilla!$J:$J)</f>
        <v>#N/A</v>
      </c>
      <c r="J63" s="23">
        <f>_xlfn.XLOOKUP(A:A,[3]Matriz!$E:$E,[3]Matriz!$FD:$FD)</f>
        <v>0</v>
      </c>
      <c r="K63" s="23">
        <f>_xlfn.XLOOKUP(A:A,[3]Matriz!$E:$E,[3]Matriz!$FF:$FF)</f>
        <v>0</v>
      </c>
    </row>
    <row r="64" spans="1:11" x14ac:dyDescent="0.35">
      <c r="A64" s="12" t="s">
        <v>319</v>
      </c>
      <c r="B64" s="1" t="s">
        <v>320</v>
      </c>
      <c r="C64" s="1" t="s">
        <v>764</v>
      </c>
      <c r="D64" s="21">
        <f>_xlfn.XLOOKUP(C:C,'[1]Reporte Flexible de Personas - '!$B:$B,'[1]Reporte Flexible de Personas - '!$E:$E)</f>
        <v>47748</v>
      </c>
      <c r="E64" s="21">
        <f>_xlfn.XLOOKUP(C:C,'[1]Reporte Flexible de Personas - '!$B:$B,'[1]Reporte Flexible de Personas - '!$G:$G)</f>
        <v>47021</v>
      </c>
      <c r="F64" s="25">
        <f>_xlfn.XLOOKUP(C:C,'[1]Reporte Flexible de Personas - '!$B:$B,'[1]Reporte Flexible de Personas - '!$I:$I)</f>
        <v>46452</v>
      </c>
      <c r="G64" s="23" t="e">
        <f>_xlfn.XLOOKUP(C:C,[2]Planilla!$C:$C,[2]Planilla!$H:$H)</f>
        <v>#N/A</v>
      </c>
      <c r="H64" s="23" t="e">
        <f>_xlfn.XLOOKUP(C:C,[2]Planilla!$C:$C,[2]Planilla!$I:$I)</f>
        <v>#N/A</v>
      </c>
      <c r="I64" s="23" t="e">
        <f>_xlfn.XLOOKUP(C:C,[2]Planilla!$C:$C,[2]Planilla!$J:$J)</f>
        <v>#N/A</v>
      </c>
      <c r="J64" s="23">
        <f>_xlfn.XLOOKUP(A:A,[3]Matriz!$E:$E,[3]Matriz!$FD:$FD)</f>
        <v>0</v>
      </c>
      <c r="K64" s="23">
        <f>_xlfn.XLOOKUP(A:A,[3]Matriz!$E:$E,[3]Matriz!$FF:$FF)</f>
        <v>0</v>
      </c>
    </row>
    <row r="65" spans="1:11" x14ac:dyDescent="0.35">
      <c r="A65" s="12" t="s">
        <v>248</v>
      </c>
      <c r="B65" s="1" t="s">
        <v>89</v>
      </c>
      <c r="C65" s="1" t="s">
        <v>765</v>
      </c>
      <c r="D65" s="21">
        <f>_xlfn.XLOOKUP(C:C,'[1]Reporte Flexible de Personas - '!$B:$B,'[1]Reporte Flexible de Personas - '!$E:$E)</f>
        <v>46678</v>
      </c>
      <c r="E65" s="21">
        <f>_xlfn.XLOOKUP(C:C,'[1]Reporte Flexible de Personas - '!$B:$B,'[1]Reporte Flexible de Personas - '!$G:$G)</f>
        <v>46669</v>
      </c>
      <c r="F65" s="25">
        <f>_xlfn.XLOOKUP(C:C,'[1]Reporte Flexible de Personas - '!$B:$B,'[1]Reporte Flexible de Personas - '!$I:$I)</f>
        <v>46727</v>
      </c>
      <c r="G65" s="23">
        <f>_xlfn.XLOOKUP(C:C,[2]Planilla!$C:$C,[2]Planilla!$H:$H)</f>
        <v>46678</v>
      </c>
      <c r="H65" s="23">
        <f>_xlfn.XLOOKUP(C:C,[2]Planilla!$C:$C,[2]Planilla!$I:$I)</f>
        <v>46678</v>
      </c>
      <c r="I65" s="23">
        <f>_xlfn.XLOOKUP(C:C,[2]Planilla!$C:$C,[2]Planilla!$J:$J)</f>
        <v>46037</v>
      </c>
      <c r="J65" s="23">
        <f>_xlfn.XLOOKUP(A:A,[3]Matriz!$E:$E,[3]Matriz!$FD:$FD)</f>
        <v>46388</v>
      </c>
      <c r="K65" s="23">
        <f>_xlfn.XLOOKUP(A:A,[3]Matriz!$E:$E,[3]Matriz!$FF:$FF)</f>
        <v>0</v>
      </c>
    </row>
    <row r="66" spans="1:11" x14ac:dyDescent="0.35">
      <c r="A66" s="12" t="s">
        <v>569</v>
      </c>
      <c r="B66" s="1" t="s">
        <v>570</v>
      </c>
      <c r="C66" s="1" t="s">
        <v>766</v>
      </c>
      <c r="D66" s="21" t="e">
        <f>_xlfn.XLOOKUP(C:C,'[1]Reporte Flexible de Personas - '!$B:$B,'[1]Reporte Flexible de Personas - '!$E:$E)</f>
        <v>#N/A</v>
      </c>
      <c r="E66" s="21" t="e">
        <f>_xlfn.XLOOKUP(C:C,'[1]Reporte Flexible de Personas - '!$B:$B,'[1]Reporte Flexible de Personas - '!$G:$G)</f>
        <v>#N/A</v>
      </c>
      <c r="F66" s="25" t="e">
        <f>_xlfn.XLOOKUP(C:C,'[1]Reporte Flexible de Personas - '!$B:$B,'[1]Reporte Flexible de Personas - '!$I:$I)</f>
        <v>#N/A</v>
      </c>
      <c r="G66" s="23" t="e">
        <f>_xlfn.XLOOKUP(C:C,[2]Planilla!$C:$C,[2]Planilla!$H:$H)</f>
        <v>#N/A</v>
      </c>
      <c r="H66" s="23" t="e">
        <f>_xlfn.XLOOKUP(C:C,[2]Planilla!$C:$C,[2]Planilla!$I:$I)</f>
        <v>#N/A</v>
      </c>
      <c r="I66" s="23" t="e">
        <f>_xlfn.XLOOKUP(C:C,[2]Planilla!$C:$C,[2]Planilla!$J:$J)</f>
        <v>#N/A</v>
      </c>
      <c r="J66" s="23">
        <f>_xlfn.XLOOKUP(A:A,[3]Matriz!$E:$E,[3]Matriz!$FD:$FD)</f>
        <v>0</v>
      </c>
      <c r="K66" s="23">
        <f>_xlfn.XLOOKUP(A:A,[3]Matriz!$E:$E,[3]Matriz!$FF:$FF)</f>
        <v>0</v>
      </c>
    </row>
    <row r="67" spans="1:11" x14ac:dyDescent="0.35">
      <c r="A67" s="12" t="s">
        <v>468</v>
      </c>
      <c r="B67" s="1" t="s">
        <v>204</v>
      </c>
      <c r="C67" s="1" t="s">
        <v>767</v>
      </c>
      <c r="D67" s="21">
        <f>_xlfn.XLOOKUP(C:C,'[1]Reporte Flexible de Personas - '!$B:$B,'[1]Reporte Flexible de Personas - '!$E:$E)</f>
        <v>47509</v>
      </c>
      <c r="E67" s="21">
        <f>_xlfn.XLOOKUP(C:C,'[1]Reporte Flexible de Personas - '!$B:$B,'[1]Reporte Flexible de Personas - '!$G:$G)</f>
        <v>46537</v>
      </c>
      <c r="F67" s="25">
        <f>_xlfn.XLOOKUP(C:C,'[1]Reporte Flexible de Personas - '!$B:$B,'[1]Reporte Flexible de Personas - '!$I:$I)</f>
        <v>46208</v>
      </c>
      <c r="G67" s="23">
        <f>_xlfn.XLOOKUP(C:C,[2]Planilla!$C:$C,[2]Planilla!$H:$H)</f>
        <v>46778</v>
      </c>
      <c r="H67" s="23">
        <f>_xlfn.XLOOKUP(C:C,[2]Planilla!$C:$C,[2]Planilla!$I:$I)</f>
        <v>46778</v>
      </c>
      <c r="I67" s="23">
        <f>_xlfn.XLOOKUP(C:C,[2]Planilla!$C:$C,[2]Planilla!$J:$J)</f>
        <v>47296</v>
      </c>
      <c r="J67" s="23">
        <f>_xlfn.XLOOKUP(A:A,[3]Matriz!$E:$E,[3]Matriz!$FD:$FD)</f>
        <v>0</v>
      </c>
      <c r="K67" s="23">
        <f>_xlfn.XLOOKUP(A:A,[3]Matriz!$E:$E,[3]Matriz!$FF:$FF)</f>
        <v>0</v>
      </c>
    </row>
    <row r="68" spans="1:11" x14ac:dyDescent="0.35">
      <c r="A68" s="12" t="s">
        <v>497</v>
      </c>
      <c r="B68" s="1" t="s">
        <v>36</v>
      </c>
      <c r="C68" s="1" t="s">
        <v>768</v>
      </c>
      <c r="D68" s="21">
        <f>_xlfn.XLOOKUP(C:C,'[1]Reporte Flexible de Personas - '!$B:$B,'[1]Reporte Flexible de Personas - '!$E:$E)</f>
        <v>47807</v>
      </c>
      <c r="E68" s="21">
        <f>_xlfn.XLOOKUP(C:C,'[1]Reporte Flexible de Personas - '!$B:$B,'[1]Reporte Flexible de Personas - '!$G:$G)</f>
        <v>46285</v>
      </c>
      <c r="F68" s="25">
        <f>_xlfn.XLOOKUP(C:C,'[1]Reporte Flexible de Personas - '!$B:$B,'[1]Reporte Flexible de Personas - '!$I:$I)</f>
        <v>47368</v>
      </c>
      <c r="G68" s="23" t="e">
        <f>_xlfn.XLOOKUP(C:C,[2]Planilla!$C:$C,[2]Planilla!$H:$H)</f>
        <v>#N/A</v>
      </c>
      <c r="H68" s="23" t="e">
        <f>_xlfn.XLOOKUP(C:C,[2]Planilla!$C:$C,[2]Planilla!$I:$I)</f>
        <v>#N/A</v>
      </c>
      <c r="I68" s="23" t="e">
        <f>_xlfn.XLOOKUP(C:C,[2]Planilla!$C:$C,[2]Planilla!$J:$J)</f>
        <v>#N/A</v>
      </c>
      <c r="J68" s="23">
        <f>_xlfn.XLOOKUP(A:A,[3]Matriz!$E:$E,[3]Matriz!$FD:$FD)</f>
        <v>0</v>
      </c>
      <c r="K68" s="23">
        <f>_xlfn.XLOOKUP(A:A,[3]Matriz!$E:$E,[3]Matriz!$FF:$FF)</f>
        <v>0</v>
      </c>
    </row>
    <row r="69" spans="1:11" x14ac:dyDescent="0.35">
      <c r="A69" s="12" t="s">
        <v>299</v>
      </c>
      <c r="B69" s="1" t="s">
        <v>161</v>
      </c>
      <c r="C69" s="1" t="s">
        <v>769</v>
      </c>
      <c r="D69" s="21">
        <f>_xlfn.XLOOKUP(C:C,'[1]Reporte Flexible de Personas - '!$B:$B,'[1]Reporte Flexible de Personas - '!$E:$E)</f>
        <v>48046</v>
      </c>
      <c r="E69" s="21">
        <f>_xlfn.XLOOKUP(C:C,'[1]Reporte Flexible de Personas - '!$B:$B,'[1]Reporte Flexible de Personas - '!$G:$G)</f>
        <v>46318</v>
      </c>
      <c r="F69" s="25">
        <f>_xlfn.XLOOKUP(C:C,'[1]Reporte Flexible de Personas - '!$B:$B,'[1]Reporte Flexible de Personas - '!$I:$I)</f>
        <v>46410</v>
      </c>
      <c r="G69" s="23" t="e">
        <f>_xlfn.XLOOKUP(C:C,[2]Planilla!$C:$C,[2]Planilla!$H:$H)</f>
        <v>#N/A</v>
      </c>
      <c r="H69" s="23" t="e">
        <f>_xlfn.XLOOKUP(C:C,[2]Planilla!$C:$C,[2]Planilla!$I:$I)</f>
        <v>#N/A</v>
      </c>
      <c r="I69" s="23" t="e">
        <f>_xlfn.XLOOKUP(C:C,[2]Planilla!$C:$C,[2]Planilla!$J:$J)</f>
        <v>#N/A</v>
      </c>
      <c r="J69" s="23">
        <f>_xlfn.XLOOKUP(A:A,[3]Matriz!$E:$E,[3]Matriz!$FD:$FD)</f>
        <v>0</v>
      </c>
      <c r="K69" s="23">
        <f>_xlfn.XLOOKUP(A:A,[3]Matriz!$E:$E,[3]Matriz!$FF:$FF)</f>
        <v>0</v>
      </c>
    </row>
    <row r="70" spans="1:11" x14ac:dyDescent="0.35">
      <c r="A70" s="12" t="s">
        <v>540</v>
      </c>
      <c r="B70" s="1" t="s">
        <v>205</v>
      </c>
      <c r="C70" s="1" t="s">
        <v>770</v>
      </c>
      <c r="D70" s="21">
        <f>_xlfn.XLOOKUP(C:C,'[1]Reporte Flexible de Personas - '!$B:$B,'[1]Reporte Flexible de Personas - '!$E:$E)</f>
        <v>46336</v>
      </c>
      <c r="E70" s="21">
        <f>_xlfn.XLOOKUP(C:C,'[1]Reporte Flexible de Personas - '!$B:$B,'[1]Reporte Flexible de Personas - '!$G:$G)</f>
        <v>46243</v>
      </c>
      <c r="F70" s="25">
        <f>_xlfn.XLOOKUP(C:C,'[1]Reporte Flexible de Personas - '!$B:$B,'[1]Reporte Flexible de Personas - '!$I:$I)</f>
        <v>46397</v>
      </c>
      <c r="G70" s="23">
        <f>_xlfn.XLOOKUP(C:C,[2]Planilla!$C:$C,[2]Planilla!$H:$H)</f>
        <v>46243</v>
      </c>
      <c r="H70" s="23">
        <f>_xlfn.XLOOKUP(C:C,[2]Planilla!$C:$C,[2]Planilla!$I:$I)</f>
        <v>46243</v>
      </c>
      <c r="I70" s="23">
        <f>_xlfn.XLOOKUP(C:C,[2]Planilla!$C:$C,[2]Planilla!$J:$J)</f>
        <v>46288</v>
      </c>
      <c r="J70" s="23">
        <f>_xlfn.XLOOKUP(A:A,[3]Matriz!$E:$E,[3]Matriz!$FD:$FD)</f>
        <v>0</v>
      </c>
      <c r="K70" s="23">
        <f>_xlfn.XLOOKUP(A:A,[3]Matriz!$E:$E,[3]Matriz!$FF:$FF)</f>
        <v>0</v>
      </c>
    </row>
    <row r="71" spans="1:11" x14ac:dyDescent="0.35">
      <c r="A71" s="12" t="s">
        <v>374</v>
      </c>
      <c r="B71" s="1" t="s">
        <v>9</v>
      </c>
      <c r="C71" s="1" t="s">
        <v>771</v>
      </c>
      <c r="D71" s="21">
        <f>_xlfn.XLOOKUP(C:C,'[1]Reporte Flexible de Personas - '!$B:$B,'[1]Reporte Flexible de Personas - '!$E:$E)</f>
        <v>46709</v>
      </c>
      <c r="E71" s="21">
        <f>_xlfn.XLOOKUP(C:C,'[1]Reporte Flexible de Personas - '!$B:$B,'[1]Reporte Flexible de Personas - '!$G:$G)</f>
        <v>46267</v>
      </c>
      <c r="F71" s="25">
        <f>_xlfn.XLOOKUP(C:C,'[1]Reporte Flexible de Personas - '!$B:$B,'[1]Reporte Flexible de Personas - '!$I:$I)</f>
        <v>46730</v>
      </c>
      <c r="G71" s="23">
        <f>_xlfn.XLOOKUP(C:C,[2]Planilla!$C:$C,[2]Planilla!$H:$H)</f>
        <v>47440</v>
      </c>
      <c r="H71" s="23">
        <f>_xlfn.XLOOKUP(C:C,[2]Planilla!$C:$C,[2]Planilla!$I:$I)</f>
        <v>47440</v>
      </c>
      <c r="I71" s="23">
        <f>_xlfn.XLOOKUP(C:C,[2]Planilla!$C:$C,[2]Planilla!$J:$J)</f>
        <v>46334</v>
      </c>
      <c r="J71" s="23">
        <f>_xlfn.XLOOKUP(A:A,[3]Matriz!$E:$E,[3]Matriz!$FD:$FD)</f>
        <v>0</v>
      </c>
      <c r="K71" s="23">
        <f>_xlfn.XLOOKUP(A:A,[3]Matriz!$E:$E,[3]Matriz!$FF:$FF)</f>
        <v>0</v>
      </c>
    </row>
    <row r="72" spans="1:11" x14ac:dyDescent="0.35">
      <c r="A72" s="12" t="s">
        <v>383</v>
      </c>
      <c r="B72" s="1" t="s">
        <v>384</v>
      </c>
      <c r="C72" s="1" t="s">
        <v>772</v>
      </c>
      <c r="D72" s="21">
        <f>_xlfn.XLOOKUP(C:C,'[1]Reporte Flexible de Personas - '!$B:$B,'[1]Reporte Flexible de Personas - '!$E:$E)</f>
        <v>47542</v>
      </c>
      <c r="E72" s="21">
        <f>_xlfn.XLOOKUP(C:C,'[1]Reporte Flexible de Personas - '!$B:$B,'[1]Reporte Flexible de Personas - '!$G:$G)</f>
        <v>46725</v>
      </c>
      <c r="F72" s="25">
        <f>_xlfn.XLOOKUP(C:C,'[1]Reporte Flexible de Personas - '!$B:$B,'[1]Reporte Flexible de Personas - '!$I:$I)</f>
        <v>47185</v>
      </c>
      <c r="G72" s="23" t="e">
        <f>_xlfn.XLOOKUP(C:C,[2]Planilla!$C:$C,[2]Planilla!$H:$H)</f>
        <v>#N/A</v>
      </c>
      <c r="H72" s="23" t="e">
        <f>_xlfn.XLOOKUP(C:C,[2]Planilla!$C:$C,[2]Planilla!$I:$I)</f>
        <v>#N/A</v>
      </c>
      <c r="I72" s="23" t="e">
        <f>_xlfn.XLOOKUP(C:C,[2]Planilla!$C:$C,[2]Planilla!$J:$J)</f>
        <v>#N/A</v>
      </c>
      <c r="J72" s="23">
        <f>_xlfn.XLOOKUP(A:A,[3]Matriz!$E:$E,[3]Matriz!$FD:$FD)</f>
        <v>0</v>
      </c>
      <c r="K72" s="23">
        <f>_xlfn.XLOOKUP(A:A,[3]Matriz!$E:$E,[3]Matriz!$FF:$FF)</f>
        <v>0</v>
      </c>
    </row>
    <row r="73" spans="1:11" x14ac:dyDescent="0.35">
      <c r="A73" s="12" t="s">
        <v>418</v>
      </c>
      <c r="B73" s="1" t="s">
        <v>90</v>
      </c>
      <c r="C73" s="1" t="s">
        <v>773</v>
      </c>
      <c r="D73" s="21">
        <f>_xlfn.XLOOKUP(C:C,'[1]Reporte Flexible de Personas - '!$B:$B,'[1]Reporte Flexible de Personas - '!$E:$E)</f>
        <v>47217</v>
      </c>
      <c r="E73" s="21">
        <f>_xlfn.XLOOKUP(C:C,'[1]Reporte Flexible de Personas - '!$B:$B,'[1]Reporte Flexible de Personas - '!$G:$G)</f>
        <v>46515</v>
      </c>
      <c r="F73" s="25">
        <f>_xlfn.XLOOKUP(C:C,'[1]Reporte Flexible de Personas - '!$B:$B,'[1]Reporte Flexible de Personas - '!$I:$I)</f>
        <v>47639</v>
      </c>
      <c r="G73" s="23" t="e">
        <f>_xlfn.XLOOKUP(C:C,[2]Planilla!$C:$C,[2]Planilla!$H:$H)</f>
        <v>#N/A</v>
      </c>
      <c r="H73" s="23" t="e">
        <f>_xlfn.XLOOKUP(C:C,[2]Planilla!$C:$C,[2]Planilla!$I:$I)</f>
        <v>#N/A</v>
      </c>
      <c r="I73" s="23" t="e">
        <f>_xlfn.XLOOKUP(C:C,[2]Planilla!$C:$C,[2]Planilla!$J:$J)</f>
        <v>#N/A</v>
      </c>
      <c r="J73" s="23">
        <f>_xlfn.XLOOKUP(A:A,[3]Matriz!$E:$E,[3]Matriz!$FD:$FD)</f>
        <v>46388</v>
      </c>
      <c r="K73" s="23">
        <f>_xlfn.XLOOKUP(A:A,[3]Matriz!$E:$E,[3]Matriz!$FF:$FF)</f>
        <v>0</v>
      </c>
    </row>
    <row r="74" spans="1:11" x14ac:dyDescent="0.35">
      <c r="A74" s="12" t="s">
        <v>352</v>
      </c>
      <c r="B74" s="1" t="s">
        <v>206</v>
      </c>
      <c r="C74" s="1" t="s">
        <v>774</v>
      </c>
      <c r="D74" s="21">
        <f>_xlfn.XLOOKUP(C:C,'[1]Reporte Flexible de Personas - '!$B:$B,'[1]Reporte Flexible de Personas - '!$E:$E)</f>
        <v>48391</v>
      </c>
      <c r="E74" s="21">
        <f>_xlfn.XLOOKUP(C:C,'[1]Reporte Flexible de Personas - '!$B:$B,'[1]Reporte Flexible de Personas - '!$G:$G)</f>
        <v>46514</v>
      </c>
      <c r="F74" s="25">
        <f>_xlfn.XLOOKUP(C:C,'[1]Reporte Flexible de Personas - '!$B:$B,'[1]Reporte Flexible de Personas - '!$I:$I)</f>
        <v>47448</v>
      </c>
      <c r="G74" s="23">
        <f>_xlfn.XLOOKUP(C:C,[2]Planilla!$C:$C,[2]Planilla!$H:$H)</f>
        <v>46930</v>
      </c>
      <c r="H74" s="23">
        <f>_xlfn.XLOOKUP(C:C,[2]Planilla!$C:$C,[2]Planilla!$I:$I)</f>
        <v>46507</v>
      </c>
      <c r="I74" s="23">
        <f>_xlfn.XLOOKUP(C:C,[2]Planilla!$C:$C,[2]Planilla!$J:$J)</f>
        <v>46507</v>
      </c>
      <c r="J74" s="23">
        <f>_xlfn.XLOOKUP(A:A,[3]Matriz!$E:$E,[3]Matriz!$FD:$FD)</f>
        <v>0</v>
      </c>
      <c r="K74" s="23">
        <f>_xlfn.XLOOKUP(A:A,[3]Matriz!$E:$E,[3]Matriz!$FF:$FF)</f>
        <v>0</v>
      </c>
    </row>
    <row r="75" spans="1:11" x14ac:dyDescent="0.35">
      <c r="A75" s="12" t="s">
        <v>461</v>
      </c>
      <c r="B75" s="1" t="s">
        <v>162</v>
      </c>
      <c r="C75" s="1" t="s">
        <v>775</v>
      </c>
      <c r="D75" s="21">
        <f>_xlfn.XLOOKUP(C:C,'[1]Reporte Flexible de Personas - '!$B:$B,'[1]Reporte Flexible de Personas - '!$E:$E)</f>
        <v>49542</v>
      </c>
      <c r="E75" s="21">
        <f>_xlfn.XLOOKUP(C:C,'[1]Reporte Flexible de Personas - '!$B:$B,'[1]Reporte Flexible de Personas - '!$G:$G)</f>
        <v>46930</v>
      </c>
      <c r="F75" s="25">
        <f>_xlfn.XLOOKUP(C:C,'[1]Reporte Flexible de Personas - '!$B:$B,'[1]Reporte Flexible de Personas - '!$I:$I)</f>
        <v>46994</v>
      </c>
      <c r="G75" s="23">
        <f>_xlfn.XLOOKUP(C:C,[2]Planilla!$C:$C,[2]Planilla!$H:$H)</f>
        <v>47351</v>
      </c>
      <c r="H75" s="23">
        <f>_xlfn.XLOOKUP(C:C,[2]Planilla!$C:$C,[2]Planilla!$I:$I)</f>
        <v>47351</v>
      </c>
      <c r="I75" s="23">
        <f>_xlfn.XLOOKUP(C:C,[2]Planilla!$C:$C,[2]Planilla!$J:$J)</f>
        <v>46557</v>
      </c>
      <c r="J75" s="23">
        <f>_xlfn.XLOOKUP(A:A,[3]Matriz!$E:$E,[3]Matriz!$FD:$FD)</f>
        <v>46388</v>
      </c>
      <c r="K75" s="23">
        <f>_xlfn.XLOOKUP(A:A,[3]Matriz!$E:$E,[3]Matriz!$FF:$FF)</f>
        <v>46388</v>
      </c>
    </row>
    <row r="76" spans="1:11" x14ac:dyDescent="0.35">
      <c r="A76" s="12" t="s">
        <v>389</v>
      </c>
      <c r="B76" s="1" t="s">
        <v>24</v>
      </c>
      <c r="C76" s="1" t="s">
        <v>776</v>
      </c>
      <c r="D76" s="21">
        <f>_xlfn.XLOOKUP(C:C,'[1]Reporte Flexible de Personas - '!$B:$B,'[1]Reporte Flexible de Personas - '!$E:$E)</f>
        <v>48789</v>
      </c>
      <c r="E76" s="21">
        <f>_xlfn.XLOOKUP(C:C,'[1]Reporte Flexible de Personas - '!$B:$B,'[1]Reporte Flexible de Personas - '!$G:$G)</f>
        <v>46220</v>
      </c>
      <c r="F76" s="25">
        <f>_xlfn.XLOOKUP(C:C,'[1]Reporte Flexible de Personas - '!$B:$B,'[1]Reporte Flexible de Personas - '!$I:$I)</f>
        <v>47342</v>
      </c>
      <c r="G76" s="23" t="e">
        <f>_xlfn.XLOOKUP(C:C,[2]Planilla!$C:$C,[2]Planilla!$H:$H)</f>
        <v>#N/A</v>
      </c>
      <c r="H76" s="23" t="e">
        <f>_xlfn.XLOOKUP(C:C,[2]Planilla!$C:$C,[2]Planilla!$I:$I)</f>
        <v>#N/A</v>
      </c>
      <c r="I76" s="23" t="e">
        <f>_xlfn.XLOOKUP(C:C,[2]Planilla!$C:$C,[2]Planilla!$J:$J)</f>
        <v>#N/A</v>
      </c>
      <c r="J76" s="23">
        <f>_xlfn.XLOOKUP(A:A,[3]Matriz!$E:$E,[3]Matriz!$FD:$FD)</f>
        <v>0</v>
      </c>
      <c r="K76" s="23">
        <f>_xlfn.XLOOKUP(A:A,[3]Matriz!$E:$E,[3]Matriz!$FF:$FF)</f>
        <v>0</v>
      </c>
    </row>
    <row r="77" spans="1:11" x14ac:dyDescent="0.35">
      <c r="A77" s="12" t="s">
        <v>361</v>
      </c>
      <c r="B77" s="1" t="s">
        <v>91</v>
      </c>
      <c r="C77" s="1" t="s">
        <v>777</v>
      </c>
      <c r="D77" s="21">
        <f>_xlfn.XLOOKUP(C:C,'[1]Reporte Flexible de Personas - '!$B:$B,'[1]Reporte Flexible de Personas - '!$E:$E)</f>
        <v>48488</v>
      </c>
      <c r="E77" s="21">
        <f>_xlfn.XLOOKUP(C:C,'[1]Reporte Flexible de Personas - '!$B:$B,'[1]Reporte Flexible de Personas - '!$G:$G)</f>
        <v>46487</v>
      </c>
      <c r="F77" s="25">
        <f>_xlfn.XLOOKUP(C:C,'[1]Reporte Flexible de Personas - '!$B:$B,'[1]Reporte Flexible de Personas - '!$I:$I)</f>
        <v>46521</v>
      </c>
      <c r="G77" s="23">
        <f>_xlfn.XLOOKUP(C:C,[2]Planilla!$C:$C,[2]Planilla!$H:$H)</f>
        <v>46661</v>
      </c>
      <c r="H77" s="23">
        <f>_xlfn.XLOOKUP(C:C,[2]Planilla!$C:$C,[2]Planilla!$I:$I)</f>
        <v>46661</v>
      </c>
      <c r="I77" s="23">
        <f>_xlfn.XLOOKUP(C:C,[2]Planilla!$C:$C,[2]Planilla!$J:$J)</f>
        <v>47007</v>
      </c>
      <c r="J77" s="23">
        <f>_xlfn.XLOOKUP(A:A,[3]Matriz!$E:$E,[3]Matriz!$FD:$FD)</f>
        <v>0</v>
      </c>
      <c r="K77" s="23">
        <f>_xlfn.XLOOKUP(A:A,[3]Matriz!$E:$E,[3]Matriz!$FF:$FF)</f>
        <v>0</v>
      </c>
    </row>
    <row r="78" spans="1:11" x14ac:dyDescent="0.35">
      <c r="A78" s="12" t="s">
        <v>429</v>
      </c>
      <c r="B78" s="1" t="s">
        <v>10</v>
      </c>
      <c r="C78" s="1" t="s">
        <v>778</v>
      </c>
      <c r="D78" s="21">
        <f>_xlfn.XLOOKUP(C:C,'[1]Reporte Flexible de Personas - '!$B:$B,'[1]Reporte Flexible de Personas - '!$E:$E)</f>
        <v>48225</v>
      </c>
      <c r="E78" s="21">
        <f>_xlfn.XLOOKUP(C:C,'[1]Reporte Flexible de Personas - '!$B:$B,'[1]Reporte Flexible de Personas - '!$G:$G)</f>
        <v>46446</v>
      </c>
      <c r="F78" s="25">
        <f>_xlfn.XLOOKUP(C:C,'[1]Reporte Flexible de Personas - '!$B:$B,'[1]Reporte Flexible de Personas - '!$I:$I)</f>
        <v>47093</v>
      </c>
      <c r="G78" s="23" t="e">
        <f>_xlfn.XLOOKUP(C:C,[2]Planilla!$C:$C,[2]Planilla!$H:$H)</f>
        <v>#N/A</v>
      </c>
      <c r="H78" s="23" t="e">
        <f>_xlfn.XLOOKUP(C:C,[2]Planilla!$C:$C,[2]Planilla!$I:$I)</f>
        <v>#N/A</v>
      </c>
      <c r="I78" s="23" t="e">
        <f>_xlfn.XLOOKUP(C:C,[2]Planilla!$C:$C,[2]Planilla!$J:$J)</f>
        <v>#N/A</v>
      </c>
      <c r="J78" s="23">
        <f>_xlfn.XLOOKUP(A:A,[3]Matriz!$E:$E,[3]Matriz!$FD:$FD)</f>
        <v>0</v>
      </c>
      <c r="K78" s="23">
        <f>_xlfn.XLOOKUP(A:A,[3]Matriz!$E:$E,[3]Matriz!$FF:$FF)</f>
        <v>0</v>
      </c>
    </row>
    <row r="79" spans="1:11" x14ac:dyDescent="0.35">
      <c r="A79" s="12" t="s">
        <v>325</v>
      </c>
      <c r="B79" s="1" t="s">
        <v>163</v>
      </c>
      <c r="C79" s="1" t="s">
        <v>779</v>
      </c>
      <c r="D79" s="21">
        <f>_xlfn.XLOOKUP(C:C,'[1]Reporte Flexible de Personas - '!$B:$B,'[1]Reporte Flexible de Personas - '!$E:$E)</f>
        <v>49285</v>
      </c>
      <c r="E79" s="21">
        <f>_xlfn.XLOOKUP(C:C,'[1]Reporte Flexible de Personas - '!$B:$B,'[1]Reporte Flexible de Personas - '!$G:$G)</f>
        <v>46333</v>
      </c>
      <c r="F79" s="25">
        <f>_xlfn.XLOOKUP(C:C,'[1]Reporte Flexible de Personas - '!$B:$B,'[1]Reporte Flexible de Personas - '!$I:$I)</f>
        <v>47510</v>
      </c>
      <c r="G79" s="23">
        <f>_xlfn.XLOOKUP(C:C,[2]Planilla!$C:$C,[2]Planilla!$H:$H)</f>
        <v>48189</v>
      </c>
      <c r="H79" s="23">
        <f>_xlfn.XLOOKUP(C:C,[2]Planilla!$C:$C,[2]Planilla!$I:$I)</f>
        <v>46170</v>
      </c>
      <c r="I79" s="23">
        <f>_xlfn.XLOOKUP(C:C,[2]Planilla!$C:$C,[2]Planilla!$J:$J)</f>
        <v>46170</v>
      </c>
      <c r="J79" s="23">
        <f>_xlfn.XLOOKUP(A:A,[3]Matriz!$E:$E,[3]Matriz!$FD:$FD)</f>
        <v>0</v>
      </c>
      <c r="K79" s="23">
        <f>_xlfn.XLOOKUP(A:A,[3]Matriz!$E:$E,[3]Matriz!$FF:$FF)</f>
        <v>0</v>
      </c>
    </row>
    <row r="80" spans="1:11" x14ac:dyDescent="0.35">
      <c r="A80" s="12" t="s">
        <v>472</v>
      </c>
      <c r="B80" s="1" t="s">
        <v>207</v>
      </c>
      <c r="C80" s="1" t="s">
        <v>780</v>
      </c>
      <c r="D80" s="21">
        <f>_xlfn.XLOOKUP(C:C,'[1]Reporte Flexible de Personas - '!$B:$B,'[1]Reporte Flexible de Personas - '!$E:$E)</f>
        <v>48178</v>
      </c>
      <c r="E80" s="21">
        <f>_xlfn.XLOOKUP(C:C,'[1]Reporte Flexible de Personas - '!$B:$B,'[1]Reporte Flexible de Personas - '!$G:$G)</f>
        <v>46542</v>
      </c>
      <c r="F80" s="25">
        <f>_xlfn.XLOOKUP(C:C,'[1]Reporte Flexible de Personas - '!$B:$B,'[1]Reporte Flexible de Personas - '!$I:$I)</f>
        <v>46609</v>
      </c>
      <c r="G80" s="23" t="e">
        <f>_xlfn.XLOOKUP(C:C,[2]Planilla!$C:$C,[2]Planilla!$H:$H)</f>
        <v>#N/A</v>
      </c>
      <c r="H80" s="23" t="e">
        <f>_xlfn.XLOOKUP(C:C,[2]Planilla!$C:$C,[2]Planilla!$I:$I)</f>
        <v>#N/A</v>
      </c>
      <c r="I80" s="23" t="e">
        <f>_xlfn.XLOOKUP(C:C,[2]Planilla!$C:$C,[2]Planilla!$J:$J)</f>
        <v>#N/A</v>
      </c>
      <c r="J80" s="23">
        <f>_xlfn.XLOOKUP(A:A,[3]Matriz!$E:$E,[3]Matriz!$FD:$FD)</f>
        <v>0</v>
      </c>
      <c r="K80" s="23">
        <f>_xlfn.XLOOKUP(A:A,[3]Matriz!$E:$E,[3]Matriz!$FF:$FF)</f>
        <v>0</v>
      </c>
    </row>
    <row r="81" spans="1:11" x14ac:dyDescent="0.35">
      <c r="A81" s="12" t="s">
        <v>537</v>
      </c>
      <c r="B81" s="1" t="s">
        <v>538</v>
      </c>
      <c r="C81" s="1" t="s">
        <v>781</v>
      </c>
      <c r="D81" s="21">
        <f>_xlfn.XLOOKUP(C:C,'[1]Reporte Flexible de Personas - '!$B:$B,'[1]Reporte Flexible de Personas - '!$E:$E)</f>
        <v>47668</v>
      </c>
      <c r="E81" s="21">
        <f>_xlfn.XLOOKUP(C:C,'[1]Reporte Flexible de Personas - '!$B:$B,'[1]Reporte Flexible de Personas - '!$G:$G)</f>
        <v>46875</v>
      </c>
      <c r="F81" s="25">
        <f>_xlfn.XLOOKUP(C:C,'[1]Reporte Flexible de Personas - '!$B:$B,'[1]Reporte Flexible de Personas - '!$I:$I)</f>
        <v>47004</v>
      </c>
      <c r="G81" s="23">
        <f>_xlfn.XLOOKUP(C:C,[2]Planilla!$C:$C,[2]Planilla!$H:$H)</f>
        <v>46572</v>
      </c>
      <c r="H81" s="23">
        <f>_xlfn.XLOOKUP(C:C,[2]Planilla!$C:$C,[2]Planilla!$I:$I)</f>
        <v>46572</v>
      </c>
      <c r="I81" s="23">
        <f>_xlfn.XLOOKUP(C:C,[2]Planilla!$C:$C,[2]Planilla!$J:$J)</f>
        <v>47268</v>
      </c>
      <c r="J81" s="23">
        <f>_xlfn.XLOOKUP(A:A,[3]Matriz!$E:$E,[3]Matriz!$FD:$FD)</f>
        <v>0</v>
      </c>
      <c r="K81" s="23">
        <f>_xlfn.XLOOKUP(A:A,[3]Matriz!$E:$E,[3]Matriz!$FF:$FF)</f>
        <v>0</v>
      </c>
    </row>
    <row r="82" spans="1:11" x14ac:dyDescent="0.35">
      <c r="A82" s="12" t="s">
        <v>249</v>
      </c>
      <c r="B82" s="1" t="s">
        <v>250</v>
      </c>
      <c r="C82" s="1" t="s">
        <v>782</v>
      </c>
      <c r="D82" s="21">
        <f>_xlfn.XLOOKUP(C:C,'[1]Reporte Flexible de Personas - '!$B:$B,'[1]Reporte Flexible de Personas - '!$E:$E)</f>
        <v>48604</v>
      </c>
      <c r="E82" s="21">
        <f>_xlfn.XLOOKUP(C:C,'[1]Reporte Flexible de Personas - '!$B:$B,'[1]Reporte Flexible de Personas - '!$G:$G)</f>
        <v>46263</v>
      </c>
      <c r="F82" s="25">
        <f>_xlfn.XLOOKUP(C:C,'[1]Reporte Flexible de Personas - '!$B:$B,'[1]Reporte Flexible de Personas - '!$I:$I)</f>
        <v>47302</v>
      </c>
      <c r="G82" s="23">
        <f>_xlfn.XLOOKUP(C:C,[2]Planilla!$C:$C,[2]Planilla!$H:$H)</f>
        <v>47873</v>
      </c>
      <c r="H82" s="23">
        <f>_xlfn.XLOOKUP(C:C,[2]Planilla!$C:$C,[2]Planilla!$I:$I)</f>
        <v>46575</v>
      </c>
      <c r="I82" s="23">
        <f>_xlfn.XLOOKUP(C:C,[2]Planilla!$C:$C,[2]Planilla!$J:$J)</f>
        <v>46902</v>
      </c>
      <c r="J82" s="23">
        <f>_xlfn.XLOOKUP(A:A,[3]Matriz!$E:$E,[3]Matriz!$FD:$FD)</f>
        <v>0</v>
      </c>
      <c r="K82" s="23">
        <f>_xlfn.XLOOKUP(A:A,[3]Matriz!$E:$E,[3]Matriz!$FF:$FF)</f>
        <v>0</v>
      </c>
    </row>
    <row r="83" spans="1:11" x14ac:dyDescent="0.35">
      <c r="A83" s="12" t="s">
        <v>405</v>
      </c>
      <c r="B83" s="1" t="s">
        <v>164</v>
      </c>
      <c r="C83" s="1" t="s">
        <v>783</v>
      </c>
      <c r="D83" s="21">
        <f>_xlfn.XLOOKUP(C:C,'[1]Reporte Flexible de Personas - '!$B:$B,'[1]Reporte Flexible de Personas - '!$E:$E)</f>
        <v>48099</v>
      </c>
      <c r="E83" s="21">
        <f>_xlfn.XLOOKUP(C:C,'[1]Reporte Flexible de Personas - '!$B:$B,'[1]Reporte Flexible de Personas - '!$G:$G)</f>
        <v>47097</v>
      </c>
      <c r="F83" s="25">
        <f>_xlfn.XLOOKUP(C:C,'[1]Reporte Flexible de Personas - '!$B:$B,'[1]Reporte Flexible de Personas - '!$I:$I)</f>
        <v>46734</v>
      </c>
      <c r="G83" s="23">
        <f>_xlfn.XLOOKUP(C:C,[2]Planilla!$C:$C,[2]Planilla!$H:$H)</f>
        <v>46638</v>
      </c>
      <c r="H83" s="23">
        <f>_xlfn.XLOOKUP(C:C,[2]Planilla!$C:$C,[2]Planilla!$I:$I)</f>
        <v>46638</v>
      </c>
      <c r="I83" s="23">
        <f>_xlfn.XLOOKUP(C:C,[2]Planilla!$C:$C,[2]Planilla!$J:$J)</f>
        <v>46946</v>
      </c>
      <c r="J83" s="23">
        <f>_xlfn.XLOOKUP(A:A,[3]Matriz!$E:$E,[3]Matriz!$FD:$FD)</f>
        <v>46388</v>
      </c>
      <c r="K83" s="23">
        <f>_xlfn.XLOOKUP(A:A,[3]Matriz!$E:$E,[3]Matriz!$FF:$FF)</f>
        <v>46388</v>
      </c>
    </row>
    <row r="84" spans="1:11" x14ac:dyDescent="0.35">
      <c r="A84" s="12" t="s">
        <v>560</v>
      </c>
      <c r="B84" s="1" t="s">
        <v>561</v>
      </c>
      <c r="C84" s="1" t="s">
        <v>784</v>
      </c>
      <c r="D84" s="21" t="e">
        <f>_xlfn.XLOOKUP(C:C,'[1]Reporte Flexible de Personas - '!$B:$B,'[1]Reporte Flexible de Personas - '!$E:$E)</f>
        <v>#N/A</v>
      </c>
      <c r="E84" s="21" t="e">
        <f>_xlfn.XLOOKUP(C:C,'[1]Reporte Flexible de Personas - '!$B:$B,'[1]Reporte Flexible de Personas - '!$G:$G)</f>
        <v>#N/A</v>
      </c>
      <c r="F84" s="25" t="e">
        <f>_xlfn.XLOOKUP(C:C,'[1]Reporte Flexible de Personas - '!$B:$B,'[1]Reporte Flexible de Personas - '!$I:$I)</f>
        <v>#N/A</v>
      </c>
      <c r="G84" s="23" t="e">
        <f>_xlfn.XLOOKUP(C:C,[2]Planilla!$C:$C,[2]Planilla!$H:$H)</f>
        <v>#N/A</v>
      </c>
      <c r="H84" s="23" t="e">
        <f>_xlfn.XLOOKUP(C:C,[2]Planilla!$C:$C,[2]Planilla!$I:$I)</f>
        <v>#N/A</v>
      </c>
      <c r="I84" s="23" t="e">
        <f>_xlfn.XLOOKUP(C:C,[2]Planilla!$C:$C,[2]Planilla!$J:$J)</f>
        <v>#N/A</v>
      </c>
      <c r="J84" s="23">
        <f>_xlfn.XLOOKUP(A:A,[3]Matriz!$E:$E,[3]Matriz!$FD:$FD)</f>
        <v>0</v>
      </c>
      <c r="K84" s="23">
        <f>_xlfn.XLOOKUP(A:A,[3]Matriz!$E:$E,[3]Matriz!$FF:$FF)</f>
        <v>0</v>
      </c>
    </row>
    <row r="85" spans="1:11" x14ac:dyDescent="0.35">
      <c r="A85" s="12" t="s">
        <v>296</v>
      </c>
      <c r="B85" s="1" t="s">
        <v>37</v>
      </c>
      <c r="C85" s="1" t="s">
        <v>785</v>
      </c>
      <c r="D85" s="21">
        <f>_xlfn.XLOOKUP(C:C,'[1]Reporte Flexible de Personas - '!$B:$B,'[1]Reporte Flexible de Personas - '!$E:$E)</f>
        <v>47270</v>
      </c>
      <c r="E85" s="21">
        <f>_xlfn.XLOOKUP(C:C,'[1]Reporte Flexible de Personas - '!$B:$B,'[1]Reporte Flexible de Personas - '!$G:$G)</f>
        <v>46242</v>
      </c>
      <c r="F85" s="25">
        <f>_xlfn.XLOOKUP(C:C,'[1]Reporte Flexible de Personas - '!$B:$B,'[1]Reporte Flexible de Personas - '!$I:$I)</f>
        <v>47353</v>
      </c>
      <c r="G85" s="23" t="e">
        <f>_xlfn.XLOOKUP(C:C,[2]Planilla!$C:$C,[2]Planilla!$H:$H)</f>
        <v>#N/A</v>
      </c>
      <c r="H85" s="23" t="e">
        <f>_xlfn.XLOOKUP(C:C,[2]Planilla!$C:$C,[2]Planilla!$I:$I)</f>
        <v>#N/A</v>
      </c>
      <c r="I85" s="23" t="e">
        <f>_xlfn.XLOOKUP(C:C,[2]Planilla!$C:$C,[2]Planilla!$J:$J)</f>
        <v>#N/A</v>
      </c>
      <c r="J85" s="23">
        <f>_xlfn.XLOOKUP(A:A,[3]Matriz!$E:$E,[3]Matriz!$FD:$FD)</f>
        <v>0</v>
      </c>
      <c r="K85" s="23">
        <f>_xlfn.XLOOKUP(A:A,[3]Matriz!$E:$E,[3]Matriz!$FF:$FF)</f>
        <v>0</v>
      </c>
    </row>
    <row r="86" spans="1:11" x14ac:dyDescent="0.35">
      <c r="A86" s="12" t="s">
        <v>408</v>
      </c>
      <c r="B86" s="1" t="s">
        <v>38</v>
      </c>
      <c r="C86" s="1" t="s">
        <v>786</v>
      </c>
      <c r="D86" s="21">
        <f>_xlfn.XLOOKUP(C:C,'[1]Reporte Flexible de Personas - '!$B:$B,'[1]Reporte Flexible de Personas - '!$E:$E)</f>
        <v>47000</v>
      </c>
      <c r="E86" s="21">
        <f>_xlfn.XLOOKUP(C:C,'[1]Reporte Flexible de Personas - '!$B:$B,'[1]Reporte Flexible de Personas - '!$G:$G)</f>
        <v>46520</v>
      </c>
      <c r="F86" s="25">
        <f>_xlfn.XLOOKUP(C:C,'[1]Reporte Flexible de Personas - '!$B:$B,'[1]Reporte Flexible de Personas - '!$I:$I)</f>
        <v>46917</v>
      </c>
      <c r="G86" s="23" t="e">
        <f>_xlfn.XLOOKUP(C:C,[2]Planilla!$C:$C,[2]Planilla!$H:$H)</f>
        <v>#N/A</v>
      </c>
      <c r="H86" s="23" t="e">
        <f>_xlfn.XLOOKUP(C:C,[2]Planilla!$C:$C,[2]Planilla!$I:$I)</f>
        <v>#N/A</v>
      </c>
      <c r="I86" s="23" t="e">
        <f>_xlfn.XLOOKUP(C:C,[2]Planilla!$C:$C,[2]Planilla!$J:$J)</f>
        <v>#N/A</v>
      </c>
      <c r="J86" s="23">
        <f>_xlfn.XLOOKUP(A:A,[3]Matriz!$E:$E,[3]Matriz!$FD:$FD)</f>
        <v>0</v>
      </c>
      <c r="K86" s="23">
        <f>_xlfn.XLOOKUP(A:A,[3]Matriz!$E:$E,[3]Matriz!$FF:$FF)</f>
        <v>0</v>
      </c>
    </row>
    <row r="87" spans="1:11" x14ac:dyDescent="0.35">
      <c r="A87" s="12" t="s">
        <v>467</v>
      </c>
      <c r="B87" s="1" t="s">
        <v>92</v>
      </c>
      <c r="C87" s="1" t="s">
        <v>787</v>
      </c>
      <c r="D87" s="21">
        <f>_xlfn.XLOOKUP(C:C,'[1]Reporte Flexible de Personas - '!$B:$B,'[1]Reporte Flexible de Personas - '!$E:$E)</f>
        <v>48949</v>
      </c>
      <c r="E87" s="21">
        <f>_xlfn.XLOOKUP(C:C,'[1]Reporte Flexible de Personas - '!$B:$B,'[1]Reporte Flexible de Personas - '!$G:$G)</f>
        <v>46393</v>
      </c>
      <c r="F87" s="25">
        <f>_xlfn.XLOOKUP(C:C,'[1]Reporte Flexible de Personas - '!$B:$B,'[1]Reporte Flexible de Personas - '!$I:$I)</f>
        <v>47495</v>
      </c>
      <c r="G87" s="23" t="e">
        <f>_xlfn.XLOOKUP(C:C,[2]Planilla!$C:$C,[2]Planilla!$H:$H)</f>
        <v>#N/A</v>
      </c>
      <c r="H87" s="23" t="e">
        <f>_xlfn.XLOOKUP(C:C,[2]Planilla!$C:$C,[2]Planilla!$I:$I)</f>
        <v>#N/A</v>
      </c>
      <c r="I87" s="23" t="e">
        <f>_xlfn.XLOOKUP(C:C,[2]Planilla!$C:$C,[2]Planilla!$J:$J)</f>
        <v>#N/A</v>
      </c>
      <c r="J87" s="23">
        <f>_xlfn.XLOOKUP(A:A,[3]Matriz!$E:$E,[3]Matriz!$FD:$FD)</f>
        <v>0</v>
      </c>
      <c r="K87" s="23">
        <f>_xlfn.XLOOKUP(A:A,[3]Matriz!$E:$E,[3]Matriz!$FF:$FF)</f>
        <v>0</v>
      </c>
    </row>
    <row r="88" spans="1:11" x14ac:dyDescent="0.35">
      <c r="A88" s="12" t="s">
        <v>367</v>
      </c>
      <c r="B88" s="1" t="s">
        <v>93</v>
      </c>
      <c r="C88" s="1" t="s">
        <v>788</v>
      </c>
      <c r="D88" s="21">
        <f>_xlfn.XLOOKUP(C:C,'[1]Reporte Flexible de Personas - '!$B:$B,'[1]Reporte Flexible de Personas - '!$E:$E)</f>
        <v>47766</v>
      </c>
      <c r="E88" s="21">
        <f>_xlfn.XLOOKUP(C:C,'[1]Reporte Flexible de Personas - '!$B:$B,'[1]Reporte Flexible de Personas - '!$G:$G)</f>
        <v>46557</v>
      </c>
      <c r="F88" s="25">
        <f>_xlfn.XLOOKUP(C:C,'[1]Reporte Flexible de Personas - '!$B:$B,'[1]Reporte Flexible de Personas - '!$I:$I)</f>
        <v>47123</v>
      </c>
      <c r="G88" s="23">
        <f>_xlfn.XLOOKUP(C:C,[2]Planilla!$C:$C,[2]Planilla!$H:$H)</f>
        <v>47401</v>
      </c>
      <c r="H88" s="23">
        <f>_xlfn.XLOOKUP(C:C,[2]Planilla!$C:$C,[2]Planilla!$I:$I)</f>
        <v>46275</v>
      </c>
      <c r="I88" s="23">
        <f>_xlfn.XLOOKUP(C:C,[2]Planilla!$C:$C,[2]Planilla!$J:$J)</f>
        <v>46275</v>
      </c>
      <c r="J88" s="23">
        <f>_xlfn.XLOOKUP(A:A,[3]Matriz!$E:$E,[3]Matriz!$FD:$FD)</f>
        <v>0</v>
      </c>
      <c r="K88" s="23">
        <f>_xlfn.XLOOKUP(A:A,[3]Matriz!$E:$E,[3]Matriz!$FF:$FF)</f>
        <v>0</v>
      </c>
    </row>
    <row r="89" spans="1:11" x14ac:dyDescent="0.35">
      <c r="A89" s="12" t="s">
        <v>428</v>
      </c>
      <c r="B89" s="1" t="s">
        <v>94</v>
      </c>
      <c r="C89" s="1" t="s">
        <v>789</v>
      </c>
      <c r="D89" s="21">
        <f>_xlfn.XLOOKUP(C:C,'[1]Reporte Flexible de Personas - '!$B:$B,'[1]Reporte Flexible de Personas - '!$E:$E)</f>
        <v>46382</v>
      </c>
      <c r="E89" s="21">
        <f>_xlfn.XLOOKUP(C:C,'[1]Reporte Flexible de Personas - '!$B:$B,'[1]Reporte Flexible de Personas - '!$G:$G)</f>
        <v>46267</v>
      </c>
      <c r="F89" s="25">
        <f>_xlfn.XLOOKUP(C:C,'[1]Reporte Flexible de Personas - '!$B:$B,'[1]Reporte Flexible de Personas - '!$I:$I)</f>
        <v>46987</v>
      </c>
      <c r="G89" s="23" t="e">
        <f>_xlfn.XLOOKUP(C:C,[2]Planilla!$C:$C,[2]Planilla!$H:$H)</f>
        <v>#N/A</v>
      </c>
      <c r="H89" s="23" t="e">
        <f>_xlfn.XLOOKUP(C:C,[2]Planilla!$C:$C,[2]Planilla!$I:$I)</f>
        <v>#N/A</v>
      </c>
      <c r="I89" s="23" t="e">
        <f>_xlfn.XLOOKUP(C:C,[2]Planilla!$C:$C,[2]Planilla!$J:$J)</f>
        <v>#N/A</v>
      </c>
      <c r="J89" s="23">
        <f>_xlfn.XLOOKUP(A:A,[3]Matriz!$E:$E,[3]Matriz!$FD:$FD)</f>
        <v>0</v>
      </c>
      <c r="K89" s="23">
        <f>_xlfn.XLOOKUP(A:A,[3]Matriz!$E:$E,[3]Matriz!$FF:$FF)</f>
        <v>0</v>
      </c>
    </row>
    <row r="90" spans="1:11" x14ac:dyDescent="0.35">
      <c r="A90" s="12" t="s">
        <v>379</v>
      </c>
      <c r="B90" s="1" t="s">
        <v>95</v>
      </c>
      <c r="C90" s="1" t="s">
        <v>790</v>
      </c>
      <c r="D90" s="21">
        <f>_xlfn.XLOOKUP(C:C,'[1]Reporte Flexible de Personas - '!$B:$B,'[1]Reporte Flexible de Personas - '!$E:$E)</f>
        <v>47381</v>
      </c>
      <c r="E90" s="21">
        <f>_xlfn.XLOOKUP(C:C,'[1]Reporte Flexible de Personas - '!$B:$B,'[1]Reporte Flexible de Personas - '!$G:$G)</f>
        <v>46853</v>
      </c>
      <c r="F90" s="25">
        <f>_xlfn.XLOOKUP(C:C,'[1]Reporte Flexible de Personas - '!$B:$B,'[1]Reporte Flexible de Personas - '!$I:$I)</f>
        <v>47111</v>
      </c>
      <c r="G90" s="23">
        <f>_xlfn.XLOOKUP(C:C,[2]Planilla!$C:$C,[2]Planilla!$H:$H)</f>
        <v>48477</v>
      </c>
      <c r="H90" s="23">
        <f>_xlfn.XLOOKUP(C:C,[2]Planilla!$C:$C,[2]Planilla!$I:$I)</f>
        <v>48477</v>
      </c>
      <c r="I90" s="23">
        <f>_xlfn.XLOOKUP(C:C,[2]Planilla!$C:$C,[2]Planilla!$J:$J)</f>
        <v>46593</v>
      </c>
      <c r="J90" s="23">
        <f>_xlfn.XLOOKUP(A:A,[3]Matriz!$E:$E,[3]Matriz!$FD:$FD)</f>
        <v>0</v>
      </c>
      <c r="K90" s="23">
        <f>_xlfn.XLOOKUP(A:A,[3]Matriz!$E:$E,[3]Matriz!$FF:$FF)</f>
        <v>0</v>
      </c>
    </row>
    <row r="91" spans="1:11" x14ac:dyDescent="0.35">
      <c r="A91" s="12" t="s">
        <v>527</v>
      </c>
      <c r="B91" s="1" t="s">
        <v>208</v>
      </c>
      <c r="C91" s="1" t="s">
        <v>791</v>
      </c>
      <c r="D91" s="21">
        <f>_xlfn.XLOOKUP(C:C,'[1]Reporte Flexible de Personas - '!$B:$B,'[1]Reporte Flexible de Personas - '!$E:$E)</f>
        <v>46832</v>
      </c>
      <c r="E91" s="21">
        <f>_xlfn.XLOOKUP(C:C,'[1]Reporte Flexible de Personas - '!$B:$B,'[1]Reporte Flexible de Personas - '!$G:$G)</f>
        <v>46369</v>
      </c>
      <c r="F91" s="25">
        <f>_xlfn.XLOOKUP(C:C,'[1]Reporte Flexible de Personas - '!$B:$B,'[1]Reporte Flexible de Personas - '!$I:$I)</f>
        <v>47501</v>
      </c>
      <c r="G91" s="23" t="e">
        <f>_xlfn.XLOOKUP(C:C,[2]Planilla!$C:$C,[2]Planilla!$H:$H)</f>
        <v>#N/A</v>
      </c>
      <c r="H91" s="23" t="e">
        <f>_xlfn.XLOOKUP(C:C,[2]Planilla!$C:$C,[2]Planilla!$I:$I)</f>
        <v>#N/A</v>
      </c>
      <c r="I91" s="23" t="e">
        <f>_xlfn.XLOOKUP(C:C,[2]Planilla!$C:$C,[2]Planilla!$J:$J)</f>
        <v>#N/A</v>
      </c>
      <c r="J91" s="23">
        <f>_xlfn.XLOOKUP(A:A,[3]Matriz!$E:$E,[3]Matriz!$FD:$FD)</f>
        <v>0</v>
      </c>
      <c r="K91" s="23">
        <f>_xlfn.XLOOKUP(A:A,[3]Matriz!$E:$E,[3]Matriz!$FF:$FF)</f>
        <v>0</v>
      </c>
    </row>
    <row r="92" spans="1:11" x14ac:dyDescent="0.35">
      <c r="A92" s="12" t="s">
        <v>411</v>
      </c>
      <c r="B92" s="1" t="s">
        <v>165</v>
      </c>
      <c r="C92" s="1" t="s">
        <v>792</v>
      </c>
      <c r="D92" s="21">
        <f>_xlfn.XLOOKUP(C:C,'[1]Reporte Flexible de Personas - '!$B:$B,'[1]Reporte Flexible de Personas - '!$E:$E)</f>
        <v>49102</v>
      </c>
      <c r="E92" s="21">
        <f>_xlfn.XLOOKUP(C:C,'[1]Reporte Flexible de Personas - '!$B:$B,'[1]Reporte Flexible de Personas - '!$G:$G)</f>
        <v>46439</v>
      </c>
      <c r="F92" s="25">
        <f>_xlfn.XLOOKUP(C:C,'[1]Reporte Flexible de Personas - '!$B:$B,'[1]Reporte Flexible de Personas - '!$I:$I)</f>
        <v>47003</v>
      </c>
      <c r="G92" s="23" t="e">
        <f>_xlfn.XLOOKUP(C:C,[2]Planilla!$C:$C,[2]Planilla!$H:$H)</f>
        <v>#N/A</v>
      </c>
      <c r="H92" s="23" t="e">
        <f>_xlfn.XLOOKUP(C:C,[2]Planilla!$C:$C,[2]Planilla!$I:$I)</f>
        <v>#N/A</v>
      </c>
      <c r="I92" s="23" t="e">
        <f>_xlfn.XLOOKUP(C:C,[2]Planilla!$C:$C,[2]Planilla!$J:$J)</f>
        <v>#N/A</v>
      </c>
      <c r="J92" s="23">
        <f>_xlfn.XLOOKUP(A:A,[3]Matriz!$E:$E,[3]Matriz!$FD:$FD)</f>
        <v>46388</v>
      </c>
      <c r="K92" s="23">
        <f>_xlfn.XLOOKUP(A:A,[3]Matriz!$E:$E,[3]Matriz!$FF:$FF)</f>
        <v>46388</v>
      </c>
    </row>
    <row r="93" spans="1:11" x14ac:dyDescent="0.35">
      <c r="A93" s="12" t="s">
        <v>317</v>
      </c>
      <c r="B93" s="1" t="s">
        <v>96</v>
      </c>
      <c r="C93" s="1" t="s">
        <v>793</v>
      </c>
      <c r="D93" s="21">
        <f>_xlfn.XLOOKUP(C:C,'[1]Reporte Flexible de Personas - '!$B:$B,'[1]Reporte Flexible de Personas - '!$E:$E)</f>
        <v>47429</v>
      </c>
      <c r="E93" s="21">
        <f>_xlfn.XLOOKUP(C:C,'[1]Reporte Flexible de Personas - '!$B:$B,'[1]Reporte Flexible de Personas - '!$G:$G)</f>
        <v>46727</v>
      </c>
      <c r="F93" s="25">
        <f>_xlfn.XLOOKUP(C:C,'[1]Reporte Flexible de Personas - '!$B:$B,'[1]Reporte Flexible de Personas - '!$I:$I)</f>
        <v>46443</v>
      </c>
      <c r="G93" s="23" t="e">
        <f>_xlfn.XLOOKUP(C:C,[2]Planilla!$C:$C,[2]Planilla!$H:$H)</f>
        <v>#N/A</v>
      </c>
      <c r="H93" s="23" t="e">
        <f>_xlfn.XLOOKUP(C:C,[2]Planilla!$C:$C,[2]Planilla!$I:$I)</f>
        <v>#N/A</v>
      </c>
      <c r="I93" s="23" t="e">
        <f>_xlfn.XLOOKUP(C:C,[2]Planilla!$C:$C,[2]Planilla!$J:$J)</f>
        <v>#N/A</v>
      </c>
      <c r="J93" s="23">
        <f>_xlfn.XLOOKUP(A:A,[3]Matriz!$E:$E,[3]Matriz!$FD:$FD)</f>
        <v>0</v>
      </c>
      <c r="K93" s="23">
        <f>_xlfn.XLOOKUP(A:A,[3]Matriz!$E:$E,[3]Matriz!$FF:$FF)</f>
        <v>0</v>
      </c>
    </row>
    <row r="94" spans="1:11" x14ac:dyDescent="0.35">
      <c r="A94" s="12" t="s">
        <v>302</v>
      </c>
      <c r="B94" s="1" t="s">
        <v>166</v>
      </c>
      <c r="C94" s="1" t="s">
        <v>794</v>
      </c>
      <c r="D94" s="21">
        <f>_xlfn.XLOOKUP(C:C,'[1]Reporte Flexible de Personas - '!$B:$B,'[1]Reporte Flexible de Personas - '!$E:$E)</f>
        <v>47345</v>
      </c>
      <c r="E94" s="21">
        <f>_xlfn.XLOOKUP(C:C,'[1]Reporte Flexible de Personas - '!$B:$B,'[1]Reporte Flexible de Personas - '!$G:$G)</f>
        <v>46664</v>
      </c>
      <c r="F94" s="25">
        <f>_xlfn.XLOOKUP(C:C,'[1]Reporte Flexible de Personas - '!$B:$B,'[1]Reporte Flexible de Personas - '!$I:$I)</f>
        <v>47047</v>
      </c>
      <c r="G94" s="23">
        <f>_xlfn.XLOOKUP(C:C,[2]Planilla!$C:$C,[2]Planilla!$H:$H)</f>
        <v>46614</v>
      </c>
      <c r="H94" s="23">
        <f>_xlfn.XLOOKUP(C:C,[2]Planilla!$C:$C,[2]Planilla!$I:$I)</f>
        <v>46614</v>
      </c>
      <c r="I94" s="23">
        <f>_xlfn.XLOOKUP(C:C,[2]Planilla!$C:$C,[2]Planilla!$J:$J)</f>
        <v>46437</v>
      </c>
      <c r="J94" s="23">
        <f>_xlfn.XLOOKUP(A:A,[3]Matriz!$E:$E,[3]Matriz!$FD:$FD)</f>
        <v>0</v>
      </c>
      <c r="K94" s="23">
        <f>_xlfn.XLOOKUP(A:A,[3]Matriz!$E:$E,[3]Matriz!$FF:$FF)</f>
        <v>0</v>
      </c>
    </row>
    <row r="95" spans="1:11" x14ac:dyDescent="0.35">
      <c r="A95" s="12" t="s">
        <v>341</v>
      </c>
      <c r="B95" s="1" t="s">
        <v>97</v>
      </c>
      <c r="C95" s="1" t="s">
        <v>795</v>
      </c>
      <c r="D95" s="21">
        <f>_xlfn.XLOOKUP(C:C,'[1]Reporte Flexible de Personas - '!$B:$B,'[1]Reporte Flexible de Personas - '!$E:$E)</f>
        <v>47450</v>
      </c>
      <c r="E95" s="21">
        <f>_xlfn.XLOOKUP(C:C,'[1]Reporte Flexible de Personas - '!$B:$B,'[1]Reporte Flexible de Personas - '!$G:$G)</f>
        <v>46557</v>
      </c>
      <c r="F95" s="25">
        <f>_xlfn.XLOOKUP(C:C,'[1]Reporte Flexible de Personas - '!$B:$B,'[1]Reporte Flexible de Personas - '!$I:$I)</f>
        <v>46614</v>
      </c>
      <c r="G95" s="23" t="e">
        <f>_xlfn.XLOOKUP(C:C,[2]Planilla!$C:$C,[2]Planilla!$H:$H)</f>
        <v>#N/A</v>
      </c>
      <c r="H95" s="23" t="e">
        <f>_xlfn.XLOOKUP(C:C,[2]Planilla!$C:$C,[2]Planilla!$I:$I)</f>
        <v>#N/A</v>
      </c>
      <c r="I95" s="23" t="e">
        <f>_xlfn.XLOOKUP(C:C,[2]Planilla!$C:$C,[2]Planilla!$J:$J)</f>
        <v>#N/A</v>
      </c>
      <c r="J95" s="23">
        <f>_xlfn.XLOOKUP(A:A,[3]Matriz!$E:$E,[3]Matriz!$FD:$FD)</f>
        <v>0</v>
      </c>
      <c r="K95" s="23">
        <f>_xlfn.XLOOKUP(A:A,[3]Matriz!$E:$E,[3]Matriz!$FF:$FF)</f>
        <v>0</v>
      </c>
    </row>
    <row r="96" spans="1:11" x14ac:dyDescent="0.35">
      <c r="A96" s="12" t="s">
        <v>264</v>
      </c>
      <c r="B96" s="1" t="s">
        <v>11</v>
      </c>
      <c r="C96" s="1" t="s">
        <v>796</v>
      </c>
      <c r="D96" s="21">
        <f>_xlfn.XLOOKUP(C:C,'[1]Reporte Flexible de Personas - '!$B:$B,'[1]Reporte Flexible de Personas - '!$E:$E)</f>
        <v>47317</v>
      </c>
      <c r="E96" s="21">
        <f>_xlfn.XLOOKUP(C:C,'[1]Reporte Flexible de Personas - '!$B:$B,'[1]Reporte Flexible de Personas - '!$G:$G)</f>
        <v>46994</v>
      </c>
      <c r="F96" s="25">
        <f>_xlfn.XLOOKUP(C:C,'[1]Reporte Flexible de Personas - '!$B:$B,'[1]Reporte Flexible de Personas - '!$I:$I)</f>
        <v>47233</v>
      </c>
      <c r="G96" s="23">
        <f>_xlfn.XLOOKUP(C:C,[2]Planilla!$C:$C,[2]Planilla!$H:$H)</f>
        <v>46952</v>
      </c>
      <c r="H96" s="23">
        <f>_xlfn.XLOOKUP(C:C,[2]Planilla!$C:$C,[2]Planilla!$I:$I)</f>
        <v>46952</v>
      </c>
      <c r="I96" s="23">
        <f>_xlfn.XLOOKUP(C:C,[2]Planilla!$C:$C,[2]Planilla!$J:$J)</f>
        <v>47373</v>
      </c>
      <c r="J96" s="23">
        <f>_xlfn.XLOOKUP(A:A,[3]Matriz!$E:$E,[3]Matriz!$FD:$FD)</f>
        <v>0</v>
      </c>
      <c r="K96" s="23">
        <f>_xlfn.XLOOKUP(A:A,[3]Matriz!$E:$E,[3]Matriz!$FF:$FF)</f>
        <v>0</v>
      </c>
    </row>
    <row r="97" spans="1:11" x14ac:dyDescent="0.35">
      <c r="A97" s="12" t="s">
        <v>377</v>
      </c>
      <c r="B97" s="1" t="s">
        <v>39</v>
      </c>
      <c r="C97" s="1" t="s">
        <v>797</v>
      </c>
      <c r="D97" s="21">
        <f>_xlfn.XLOOKUP(C:C,'[1]Reporte Flexible de Personas - '!$B:$B,'[1]Reporte Flexible de Personas - '!$E:$E)</f>
        <v>46508</v>
      </c>
      <c r="E97" s="21">
        <f>_xlfn.XLOOKUP(C:C,'[1]Reporte Flexible de Personas - '!$B:$B,'[1]Reporte Flexible de Personas - '!$G:$G)</f>
        <v>47123</v>
      </c>
      <c r="F97" s="25">
        <f>_xlfn.XLOOKUP(C:C,'[1]Reporte Flexible de Personas - '!$B:$B,'[1]Reporte Flexible de Personas - '!$I:$I)</f>
        <v>46732</v>
      </c>
      <c r="G97" s="23">
        <f>_xlfn.XLOOKUP(C:C,[2]Planilla!$C:$C,[2]Planilla!$H:$H)</f>
        <v>47604</v>
      </c>
      <c r="H97" s="23">
        <f>_xlfn.XLOOKUP(C:C,[2]Planilla!$C:$C,[2]Planilla!$I:$I)</f>
        <v>46275</v>
      </c>
      <c r="I97" s="23">
        <f>_xlfn.XLOOKUP(C:C,[2]Planilla!$C:$C,[2]Planilla!$J:$J)</f>
        <v>46275</v>
      </c>
      <c r="J97" s="23">
        <f>_xlfn.XLOOKUP(A:A,[3]Matriz!$E:$E,[3]Matriz!$FD:$FD)</f>
        <v>46388</v>
      </c>
      <c r="K97" s="23">
        <f>_xlfn.XLOOKUP(A:A,[3]Matriz!$E:$E,[3]Matriz!$FF:$FF)</f>
        <v>0</v>
      </c>
    </row>
    <row r="98" spans="1:11" x14ac:dyDescent="0.35">
      <c r="A98" s="12" t="s">
        <v>524</v>
      </c>
      <c r="B98" s="1" t="s">
        <v>77</v>
      </c>
      <c r="C98" s="1" t="s">
        <v>798</v>
      </c>
      <c r="D98" s="21">
        <f>_xlfn.XLOOKUP(C:C,'[1]Reporte Flexible de Personas - '!$B:$B,'[1]Reporte Flexible de Personas - '!$E:$E)</f>
        <v>46310</v>
      </c>
      <c r="E98" s="21">
        <f>_xlfn.XLOOKUP(C:C,'[1]Reporte Flexible de Personas - '!$B:$B,'[1]Reporte Flexible de Personas - '!$G:$G)</f>
        <v>47009</v>
      </c>
      <c r="F98" s="25">
        <f>_xlfn.XLOOKUP(C:C,'[1]Reporte Flexible de Personas - '!$B:$B,'[1]Reporte Flexible de Personas - '!$I:$I)</f>
        <v>47596</v>
      </c>
      <c r="G98" s="23" t="e">
        <f>_xlfn.XLOOKUP(C:C,[2]Planilla!$C:$C,[2]Planilla!$H:$H)</f>
        <v>#N/A</v>
      </c>
      <c r="H98" s="23" t="e">
        <f>_xlfn.XLOOKUP(C:C,[2]Planilla!$C:$C,[2]Planilla!$I:$I)</f>
        <v>#N/A</v>
      </c>
      <c r="I98" s="23" t="e">
        <f>_xlfn.XLOOKUP(C:C,[2]Planilla!$C:$C,[2]Planilla!$J:$J)</f>
        <v>#N/A</v>
      </c>
      <c r="J98" s="23">
        <f>_xlfn.XLOOKUP(A:A,[3]Matriz!$E:$E,[3]Matriz!$FD:$FD)</f>
        <v>0</v>
      </c>
      <c r="K98" s="23">
        <f>_xlfn.XLOOKUP(A:A,[3]Matriz!$E:$E,[3]Matriz!$FF:$FF)</f>
        <v>0</v>
      </c>
    </row>
    <row r="99" spans="1:11" x14ac:dyDescent="0.35">
      <c r="A99" s="12" t="s">
        <v>549</v>
      </c>
      <c r="B99" s="1" t="s">
        <v>137</v>
      </c>
      <c r="C99" s="1" t="s">
        <v>799</v>
      </c>
      <c r="D99" s="21">
        <f>_xlfn.XLOOKUP(C:C,'[1]Reporte Flexible de Personas - '!$B:$B,'[1]Reporte Flexible de Personas - '!$E:$E)</f>
        <v>49000</v>
      </c>
      <c r="E99" s="21" t="str">
        <f>_xlfn.XLOOKUP(C:C,'[1]Reporte Flexible de Personas - '!$B:$B,'[1]Reporte Flexible de Personas - '!$G:$G)</f>
        <v>28-05-2028</v>
      </c>
      <c r="F99" s="25">
        <f>_xlfn.XLOOKUP(C:C,'[1]Reporte Flexible de Personas - '!$B:$B,'[1]Reporte Flexible de Personas - '!$I:$I)</f>
        <v>47139</v>
      </c>
      <c r="G99" s="23" t="e">
        <f>_xlfn.XLOOKUP(C:C,[2]Planilla!$C:$C,[2]Planilla!$H:$H)</f>
        <v>#N/A</v>
      </c>
      <c r="H99" s="23" t="e">
        <f>_xlfn.XLOOKUP(C:C,[2]Planilla!$C:$C,[2]Planilla!$I:$I)</f>
        <v>#N/A</v>
      </c>
      <c r="I99" s="23" t="e">
        <f>_xlfn.XLOOKUP(C:C,[2]Planilla!$C:$C,[2]Planilla!$J:$J)</f>
        <v>#N/A</v>
      </c>
      <c r="J99" s="23">
        <f>_xlfn.XLOOKUP(A:A,[3]Matriz!$E:$E,[3]Matriz!$FD:$FD)</f>
        <v>0</v>
      </c>
      <c r="K99" s="23">
        <f>_xlfn.XLOOKUP(A:A,[3]Matriz!$E:$E,[3]Matriz!$FF:$FF)</f>
        <v>0</v>
      </c>
    </row>
    <row r="100" spans="1:11" x14ac:dyDescent="0.35">
      <c r="A100" s="12" t="s">
        <v>391</v>
      </c>
      <c r="B100" s="1" t="s">
        <v>98</v>
      </c>
      <c r="C100" s="1" t="s">
        <v>800</v>
      </c>
      <c r="D100" s="21">
        <f>_xlfn.XLOOKUP(C:C,'[1]Reporte Flexible de Personas - '!$B:$B,'[1]Reporte Flexible de Personas - '!$E:$E)</f>
        <v>48439</v>
      </c>
      <c r="E100" s="21">
        <f>_xlfn.XLOOKUP(C:C,'[1]Reporte Flexible de Personas - '!$B:$B,'[1]Reporte Flexible de Personas - '!$G:$G)</f>
        <v>47011</v>
      </c>
      <c r="F100" s="25">
        <f>_xlfn.XLOOKUP(C:C,'[1]Reporte Flexible de Personas - '!$B:$B,'[1]Reporte Flexible de Personas - '!$I:$I)</f>
        <v>47141</v>
      </c>
      <c r="G100" s="23" t="e">
        <f>_xlfn.XLOOKUP(C:C,[2]Planilla!$C:$C,[2]Planilla!$H:$H)</f>
        <v>#N/A</v>
      </c>
      <c r="H100" s="23" t="e">
        <f>_xlfn.XLOOKUP(C:C,[2]Planilla!$C:$C,[2]Planilla!$I:$I)</f>
        <v>#N/A</v>
      </c>
      <c r="I100" s="23" t="e">
        <f>_xlfn.XLOOKUP(C:C,[2]Planilla!$C:$C,[2]Planilla!$J:$J)</f>
        <v>#N/A</v>
      </c>
      <c r="J100" s="23">
        <f>_xlfn.XLOOKUP(A:A,[3]Matriz!$E:$E,[3]Matriz!$FD:$FD)</f>
        <v>0</v>
      </c>
      <c r="K100" s="23">
        <f>_xlfn.XLOOKUP(A:A,[3]Matriz!$E:$E,[3]Matriz!$FF:$FF)</f>
        <v>0</v>
      </c>
    </row>
    <row r="101" spans="1:11" x14ac:dyDescent="0.35">
      <c r="A101" s="12" t="s">
        <v>430</v>
      </c>
      <c r="B101" s="1" t="s">
        <v>209</v>
      </c>
      <c r="C101" s="1" t="s">
        <v>801</v>
      </c>
      <c r="D101" s="21">
        <f>_xlfn.XLOOKUP(C:C,'[1]Reporte Flexible de Personas - '!$B:$B,'[1]Reporte Flexible de Personas - '!$E:$E)</f>
        <v>48294</v>
      </c>
      <c r="E101" s="21">
        <f>_xlfn.XLOOKUP(C:C,'[1]Reporte Flexible de Personas - '!$B:$B,'[1]Reporte Flexible de Personas - '!$G:$G)</f>
        <v>46397</v>
      </c>
      <c r="F101" s="25">
        <f>_xlfn.XLOOKUP(C:C,'[1]Reporte Flexible de Personas - '!$B:$B,'[1]Reporte Flexible de Personas - '!$I:$I)</f>
        <v>47490</v>
      </c>
      <c r="G101" s="23" t="e">
        <f>_xlfn.XLOOKUP(C:C,[2]Planilla!$C:$C,[2]Planilla!$H:$H)</f>
        <v>#N/A</v>
      </c>
      <c r="H101" s="23" t="e">
        <f>_xlfn.XLOOKUP(C:C,[2]Planilla!$C:$C,[2]Planilla!$I:$I)</f>
        <v>#N/A</v>
      </c>
      <c r="I101" s="23" t="e">
        <f>_xlfn.XLOOKUP(C:C,[2]Planilla!$C:$C,[2]Planilla!$J:$J)</f>
        <v>#N/A</v>
      </c>
      <c r="J101" s="23">
        <f>_xlfn.XLOOKUP(A:A,[3]Matriz!$E:$E,[3]Matriz!$FD:$FD)</f>
        <v>0</v>
      </c>
      <c r="K101" s="23">
        <f>_xlfn.XLOOKUP(A:A,[3]Matriz!$E:$E,[3]Matriz!$FF:$FF)</f>
        <v>0</v>
      </c>
    </row>
    <row r="102" spans="1:11" x14ac:dyDescent="0.35">
      <c r="A102" s="12" t="s">
        <v>520</v>
      </c>
      <c r="B102" s="1" t="s">
        <v>40</v>
      </c>
      <c r="C102" s="1" t="s">
        <v>802</v>
      </c>
      <c r="D102" s="21">
        <f>_xlfn.XLOOKUP(C:C,'[1]Reporte Flexible de Personas - '!$B:$B,'[1]Reporte Flexible de Personas - '!$E:$E)</f>
        <v>47876</v>
      </c>
      <c r="E102" s="21">
        <f>_xlfn.XLOOKUP(C:C,'[1]Reporte Flexible de Personas - '!$B:$B,'[1]Reporte Flexible de Personas - '!$G:$G)</f>
        <v>46716</v>
      </c>
      <c r="F102" s="25">
        <f>_xlfn.XLOOKUP(C:C,'[1]Reporte Flexible de Personas - '!$B:$B,'[1]Reporte Flexible de Personas - '!$I:$I)</f>
        <v>46398</v>
      </c>
      <c r="G102" s="23">
        <f>_xlfn.XLOOKUP(C:C,[2]Planilla!$C:$C,[2]Planilla!$H:$H)</f>
        <v>46780</v>
      </c>
      <c r="H102" s="23">
        <f>_xlfn.XLOOKUP(C:C,[2]Planilla!$C:$C,[2]Planilla!$I:$I)</f>
        <v>45685</v>
      </c>
      <c r="I102" s="23">
        <f>_xlfn.XLOOKUP(C:C,[2]Planilla!$C:$C,[2]Planilla!$J:$J)</f>
        <v>46499</v>
      </c>
      <c r="J102" s="23">
        <f>_xlfn.XLOOKUP(A:A,[3]Matriz!$E:$E,[3]Matriz!$FD:$FD)</f>
        <v>0</v>
      </c>
      <c r="K102" s="23">
        <f>_xlfn.XLOOKUP(A:A,[3]Matriz!$E:$E,[3]Matriz!$FF:$FF)</f>
        <v>46388</v>
      </c>
    </row>
    <row r="103" spans="1:11" x14ac:dyDescent="0.35">
      <c r="A103" s="12" t="s">
        <v>326</v>
      </c>
      <c r="B103" s="1" t="s">
        <v>167</v>
      </c>
      <c r="C103" s="1" t="s">
        <v>803</v>
      </c>
      <c r="D103" s="21">
        <f>_xlfn.XLOOKUP(C:C,'[1]Reporte Flexible de Personas - '!$B:$B,'[1]Reporte Flexible de Personas - '!$E:$E)</f>
        <v>46194</v>
      </c>
      <c r="E103" s="21">
        <f>_xlfn.XLOOKUP(C:C,'[1]Reporte Flexible de Personas - '!$B:$B,'[1]Reporte Flexible de Personas - '!$G:$G)</f>
        <v>46769</v>
      </c>
      <c r="F103" s="25">
        <f>_xlfn.XLOOKUP(C:C,'[1]Reporte Flexible de Personas - '!$B:$B,'[1]Reporte Flexible de Personas - '!$I:$I)</f>
        <v>47155</v>
      </c>
      <c r="G103" s="23">
        <f>_xlfn.XLOOKUP(C:C,[2]Planilla!$C:$C,[2]Planilla!$H:$H)</f>
        <v>46559</v>
      </c>
      <c r="H103" s="23">
        <f>_xlfn.XLOOKUP(C:C,[2]Planilla!$C:$C,[2]Planilla!$I:$I)</f>
        <v>46559</v>
      </c>
      <c r="I103" s="23">
        <f>_xlfn.XLOOKUP(C:C,[2]Planilla!$C:$C,[2]Planilla!$J:$J)</f>
        <v>46330</v>
      </c>
      <c r="J103" s="23">
        <f>_xlfn.XLOOKUP(A:A,[3]Matriz!$E:$E,[3]Matriz!$FD:$FD)</f>
        <v>0</v>
      </c>
      <c r="K103" s="23">
        <f>_xlfn.XLOOKUP(A:A,[3]Matriz!$E:$E,[3]Matriz!$FF:$FF)</f>
        <v>0</v>
      </c>
    </row>
    <row r="104" spans="1:11" x14ac:dyDescent="0.35">
      <c r="A104" s="12" t="s">
        <v>415</v>
      </c>
      <c r="B104" s="1" t="s">
        <v>210</v>
      </c>
      <c r="C104" s="1" t="s">
        <v>804</v>
      </c>
      <c r="D104" s="21">
        <f>_xlfn.XLOOKUP(C:C,'[1]Reporte Flexible de Personas - '!$B:$B,'[1]Reporte Flexible de Personas - '!$E:$E)</f>
        <v>49748</v>
      </c>
      <c r="E104" s="21">
        <f>_xlfn.XLOOKUP(C:C,'[1]Reporte Flexible de Personas - '!$B:$B,'[1]Reporte Flexible de Personas - '!$G:$G)</f>
        <v>46878</v>
      </c>
      <c r="F104" s="25">
        <f>_xlfn.XLOOKUP(C:C,'[1]Reporte Flexible de Personas - '!$B:$B,'[1]Reporte Flexible de Personas - '!$I:$I)</f>
        <v>47004</v>
      </c>
      <c r="G104" s="23">
        <f>_xlfn.XLOOKUP(C:C,[2]Planilla!$C:$C,[2]Planilla!$H:$H)</f>
        <v>47556</v>
      </c>
      <c r="H104" s="23">
        <f>_xlfn.XLOOKUP(C:C,[2]Planilla!$C:$C,[2]Planilla!$I:$I)</f>
        <v>47556</v>
      </c>
      <c r="I104" s="23">
        <f>_xlfn.XLOOKUP(C:C,[2]Planilla!$C:$C,[2]Planilla!$J:$J)</f>
        <v>46545</v>
      </c>
      <c r="J104" s="23">
        <f>_xlfn.XLOOKUP(A:A,[3]Matriz!$E:$E,[3]Matriz!$FD:$FD)</f>
        <v>0</v>
      </c>
      <c r="K104" s="23">
        <f>_xlfn.XLOOKUP(A:A,[3]Matriz!$E:$E,[3]Matriz!$FF:$FF)</f>
        <v>46388</v>
      </c>
    </row>
    <row r="105" spans="1:11" x14ac:dyDescent="0.35">
      <c r="A105" s="12" t="s">
        <v>469</v>
      </c>
      <c r="B105" s="1" t="s">
        <v>168</v>
      </c>
      <c r="C105" s="1" t="s">
        <v>805</v>
      </c>
      <c r="D105" s="21">
        <f>_xlfn.XLOOKUP(C:C,'[1]Reporte Flexible de Personas - '!$B:$B,'[1]Reporte Flexible de Personas - '!$E:$E)</f>
        <v>48916</v>
      </c>
      <c r="E105" s="21">
        <f>_xlfn.XLOOKUP(C:C,'[1]Reporte Flexible de Personas - '!$B:$B,'[1]Reporte Flexible de Personas - '!$G:$G)</f>
        <v>46550</v>
      </c>
      <c r="F105" s="25">
        <f>_xlfn.XLOOKUP(C:C,'[1]Reporte Flexible de Personas - '!$B:$B,'[1]Reporte Flexible de Personas - '!$I:$I)</f>
        <v>46309</v>
      </c>
      <c r="G105" s="23" t="e">
        <f>_xlfn.XLOOKUP(C:C,[2]Planilla!$C:$C,[2]Planilla!$H:$H)</f>
        <v>#N/A</v>
      </c>
      <c r="H105" s="23" t="e">
        <f>_xlfn.XLOOKUP(C:C,[2]Planilla!$C:$C,[2]Planilla!$I:$I)</f>
        <v>#N/A</v>
      </c>
      <c r="I105" s="23" t="e">
        <f>_xlfn.XLOOKUP(C:C,[2]Planilla!$C:$C,[2]Planilla!$J:$J)</f>
        <v>#N/A</v>
      </c>
      <c r="J105" s="23">
        <f>_xlfn.XLOOKUP(A:A,[3]Matriz!$E:$E,[3]Matriz!$FD:$FD)</f>
        <v>0</v>
      </c>
      <c r="K105" s="23">
        <f>_xlfn.XLOOKUP(A:A,[3]Matriz!$E:$E,[3]Matriz!$FF:$FF)</f>
        <v>0</v>
      </c>
    </row>
    <row r="106" spans="1:11" x14ac:dyDescent="0.35">
      <c r="A106" s="12" t="s">
        <v>364</v>
      </c>
      <c r="B106" s="1" t="s">
        <v>169</v>
      </c>
      <c r="C106" s="1" t="s">
        <v>806</v>
      </c>
      <c r="D106" s="21">
        <f>_xlfn.XLOOKUP(C:C,'[1]Reporte Flexible de Personas - '!$B:$B,'[1]Reporte Flexible de Personas - '!$E:$E)</f>
        <v>47556</v>
      </c>
      <c r="E106" s="21">
        <f>_xlfn.XLOOKUP(C:C,'[1]Reporte Flexible de Personas - '!$B:$B,'[1]Reporte Flexible de Personas - '!$G:$G)</f>
        <v>46272</v>
      </c>
      <c r="F106" s="25">
        <f>_xlfn.XLOOKUP(C:C,'[1]Reporte Flexible de Personas - '!$B:$B,'[1]Reporte Flexible de Personas - '!$I:$I)</f>
        <v>47125</v>
      </c>
      <c r="G106" s="23" t="e">
        <f>_xlfn.XLOOKUP(C:C,[2]Planilla!$C:$C,[2]Planilla!$H:$H)</f>
        <v>#N/A</v>
      </c>
      <c r="H106" s="23" t="e">
        <f>_xlfn.XLOOKUP(C:C,[2]Planilla!$C:$C,[2]Planilla!$I:$I)</f>
        <v>#N/A</v>
      </c>
      <c r="I106" s="23" t="e">
        <f>_xlfn.XLOOKUP(C:C,[2]Planilla!$C:$C,[2]Planilla!$J:$J)</f>
        <v>#N/A</v>
      </c>
      <c r="J106" s="23">
        <f>_xlfn.XLOOKUP(A:A,[3]Matriz!$E:$E,[3]Matriz!$FD:$FD)</f>
        <v>0</v>
      </c>
      <c r="K106" s="23">
        <f>_xlfn.XLOOKUP(A:A,[3]Matriz!$E:$E,[3]Matriz!$FF:$FF)</f>
        <v>0</v>
      </c>
    </row>
    <row r="107" spans="1:11" x14ac:dyDescent="0.35">
      <c r="A107" s="12" t="s">
        <v>489</v>
      </c>
      <c r="B107" s="1" t="s">
        <v>490</v>
      </c>
      <c r="C107" s="1" t="s">
        <v>807</v>
      </c>
      <c r="D107" s="21">
        <f>_xlfn.XLOOKUP(C:C,'[1]Reporte Flexible de Personas - '!$B:$B,'[1]Reporte Flexible de Personas - '!$E:$E)</f>
        <v>46985</v>
      </c>
      <c r="E107" s="21">
        <f>_xlfn.XLOOKUP(C:C,'[1]Reporte Flexible de Personas - '!$B:$B,'[1]Reporte Flexible de Personas - '!$G:$G)</f>
        <v>46464</v>
      </c>
      <c r="F107" s="25">
        <f>_xlfn.XLOOKUP(C:C,'[1]Reporte Flexible de Personas - '!$B:$B,'[1]Reporte Flexible de Personas - '!$I:$I)</f>
        <v>47208</v>
      </c>
      <c r="G107" s="23" t="e">
        <f>_xlfn.XLOOKUP(C:C,[2]Planilla!$C:$C,[2]Planilla!$H:$H)</f>
        <v>#N/A</v>
      </c>
      <c r="H107" s="23" t="e">
        <f>_xlfn.XLOOKUP(C:C,[2]Planilla!$C:$C,[2]Planilla!$I:$I)</f>
        <v>#N/A</v>
      </c>
      <c r="I107" s="23" t="e">
        <f>_xlfn.XLOOKUP(C:C,[2]Planilla!$C:$C,[2]Planilla!$J:$J)</f>
        <v>#N/A</v>
      </c>
      <c r="J107" s="23">
        <f>_xlfn.XLOOKUP(A:A,[3]Matriz!$E:$E,[3]Matriz!$FD:$FD)</f>
        <v>0</v>
      </c>
      <c r="K107" s="23">
        <f>_xlfn.XLOOKUP(A:A,[3]Matriz!$E:$E,[3]Matriz!$FF:$FF)</f>
        <v>0</v>
      </c>
    </row>
    <row r="108" spans="1:11" x14ac:dyDescent="0.35">
      <c r="A108" s="12" t="s">
        <v>502</v>
      </c>
      <c r="B108" s="1" t="s">
        <v>211</v>
      </c>
      <c r="C108" s="1" t="s">
        <v>808</v>
      </c>
      <c r="D108" s="21">
        <f>_xlfn.XLOOKUP(C:C,'[1]Reporte Flexible de Personas - '!$B:$B,'[1]Reporte Flexible de Personas - '!$E:$E)</f>
        <v>47048</v>
      </c>
      <c r="E108" s="21">
        <f>_xlfn.XLOOKUP(C:C,'[1]Reporte Flexible de Personas - '!$B:$B,'[1]Reporte Flexible de Personas - '!$G:$G)</f>
        <v>46492</v>
      </c>
      <c r="F108" s="25">
        <f>_xlfn.XLOOKUP(C:C,'[1]Reporte Flexible de Personas - '!$B:$B,'[1]Reporte Flexible de Personas - '!$I:$I)</f>
        <v>47204</v>
      </c>
      <c r="G108" s="23">
        <f>_xlfn.XLOOKUP(C:C,[2]Planilla!$C:$C,[2]Planilla!$H:$H)</f>
        <v>46682</v>
      </c>
      <c r="H108" s="23">
        <f>_xlfn.XLOOKUP(C:C,[2]Planilla!$C:$C,[2]Planilla!$I:$I)</f>
        <v>46288</v>
      </c>
      <c r="I108" s="23">
        <f>_xlfn.XLOOKUP(C:C,[2]Planilla!$C:$C,[2]Planilla!$J:$J)</f>
        <v>46504</v>
      </c>
      <c r="J108" s="23">
        <f>_xlfn.XLOOKUP(A:A,[3]Matriz!$E:$E,[3]Matriz!$FD:$FD)</f>
        <v>0</v>
      </c>
      <c r="K108" s="23">
        <f>_xlfn.XLOOKUP(A:A,[3]Matriz!$E:$E,[3]Matriz!$FF:$FF)</f>
        <v>0</v>
      </c>
    </row>
    <row r="109" spans="1:11" x14ac:dyDescent="0.35">
      <c r="A109" s="12" t="s">
        <v>475</v>
      </c>
      <c r="B109" s="1" t="s">
        <v>41</v>
      </c>
      <c r="C109" s="1" t="s">
        <v>809</v>
      </c>
      <c r="D109" s="21">
        <f>_xlfn.XLOOKUP(C:C,'[1]Reporte Flexible de Personas - '!$B:$B,'[1]Reporte Flexible de Personas - '!$E:$E)</f>
        <v>47465</v>
      </c>
      <c r="E109" s="21">
        <f>_xlfn.XLOOKUP(C:C,'[1]Reporte Flexible de Personas - '!$B:$B,'[1]Reporte Flexible de Personas - '!$G:$G)</f>
        <v>46716</v>
      </c>
      <c r="F109" s="25">
        <f>_xlfn.XLOOKUP(C:C,'[1]Reporte Flexible de Personas - '!$B:$B,'[1]Reporte Flexible de Personas - '!$I:$I)</f>
        <v>47004</v>
      </c>
      <c r="G109" s="23" t="e">
        <f>_xlfn.XLOOKUP(C:C,[2]Planilla!$C:$C,[2]Planilla!$H:$H)</f>
        <v>#N/A</v>
      </c>
      <c r="H109" s="23" t="e">
        <f>_xlfn.XLOOKUP(C:C,[2]Planilla!$C:$C,[2]Planilla!$I:$I)</f>
        <v>#N/A</v>
      </c>
      <c r="I109" s="23" t="e">
        <f>_xlfn.XLOOKUP(C:C,[2]Planilla!$C:$C,[2]Planilla!$J:$J)</f>
        <v>#N/A</v>
      </c>
      <c r="J109" s="23">
        <f>_xlfn.XLOOKUP(A:A,[3]Matriz!$E:$E,[3]Matriz!$FD:$FD)</f>
        <v>46388</v>
      </c>
      <c r="K109" s="23">
        <f>_xlfn.XLOOKUP(A:A,[3]Matriz!$E:$E,[3]Matriz!$FF:$FF)</f>
        <v>46388</v>
      </c>
    </row>
    <row r="110" spans="1:11" x14ac:dyDescent="0.35">
      <c r="A110" s="12" t="s">
        <v>338</v>
      </c>
      <c r="B110" s="1" t="s">
        <v>212</v>
      </c>
      <c r="C110" s="1" t="s">
        <v>810</v>
      </c>
      <c r="D110" s="21">
        <f>_xlfn.XLOOKUP(C:C,'[1]Reporte Flexible de Personas - '!$B:$B,'[1]Reporte Flexible de Personas - '!$E:$E)</f>
        <v>46793</v>
      </c>
      <c r="E110" s="21">
        <f>_xlfn.XLOOKUP(C:C,'[1]Reporte Flexible de Personas - '!$B:$B,'[1]Reporte Flexible de Personas - '!$G:$G)</f>
        <v>46958</v>
      </c>
      <c r="F110" s="25">
        <f>_xlfn.XLOOKUP(C:C,'[1]Reporte Flexible de Personas - '!$B:$B,'[1]Reporte Flexible de Personas - '!$I:$I)</f>
        <v>47370</v>
      </c>
      <c r="G110" s="23">
        <f>_xlfn.XLOOKUP(C:C,[2]Planilla!$C:$C,[2]Planilla!$H:$H)</f>
        <v>47524</v>
      </c>
      <c r="H110" s="23">
        <f>_xlfn.XLOOKUP(C:C,[2]Planilla!$C:$C,[2]Planilla!$I:$I)</f>
        <v>47524</v>
      </c>
      <c r="I110" s="23">
        <f>_xlfn.XLOOKUP(C:C,[2]Planilla!$C:$C,[2]Planilla!$J:$J)</f>
        <v>47323</v>
      </c>
      <c r="J110" s="23">
        <f>_xlfn.XLOOKUP(A:A,[3]Matriz!$E:$E,[3]Matriz!$FD:$FD)</f>
        <v>46388</v>
      </c>
      <c r="K110" s="23">
        <f>_xlfn.XLOOKUP(A:A,[3]Matriz!$E:$E,[3]Matriz!$FF:$FF)</f>
        <v>46388</v>
      </c>
    </row>
    <row r="111" spans="1:11" x14ac:dyDescent="0.35">
      <c r="A111" s="12" t="s">
        <v>346</v>
      </c>
      <c r="B111" s="1" t="s">
        <v>99</v>
      </c>
      <c r="C111" s="1" t="s">
        <v>811</v>
      </c>
      <c r="D111" s="21">
        <f>_xlfn.XLOOKUP(C:C,'[1]Reporte Flexible de Personas - '!$B:$B,'[1]Reporte Flexible de Personas - '!$E:$E)</f>
        <v>46815</v>
      </c>
      <c r="E111" s="21">
        <f>_xlfn.XLOOKUP(C:C,'[1]Reporte Flexible de Personas - '!$B:$B,'[1]Reporte Flexible de Personas - '!$G:$G)</f>
        <v>46689</v>
      </c>
      <c r="F111" s="25">
        <f>_xlfn.XLOOKUP(C:C,'[1]Reporte Flexible de Personas - '!$B:$B,'[1]Reporte Flexible de Personas - '!$I:$I)</f>
        <v>47241</v>
      </c>
      <c r="G111" s="23">
        <f>_xlfn.XLOOKUP(C:C,[2]Planilla!$C:$C,[2]Planilla!$H:$H)</f>
        <v>46449</v>
      </c>
      <c r="H111" s="23">
        <f>_xlfn.XLOOKUP(C:C,[2]Planilla!$C:$C,[2]Planilla!$I:$I)</f>
        <v>46449</v>
      </c>
      <c r="I111" s="23">
        <f>_xlfn.XLOOKUP(C:C,[2]Planilla!$C:$C,[2]Planilla!$J:$J)</f>
        <v>46281</v>
      </c>
      <c r="J111" s="23">
        <f>_xlfn.XLOOKUP(A:A,[3]Matriz!$E:$E,[3]Matriz!$FD:$FD)</f>
        <v>0</v>
      </c>
      <c r="K111" s="23">
        <f>_xlfn.XLOOKUP(A:A,[3]Matriz!$E:$E,[3]Matriz!$FF:$FF)</f>
        <v>46388</v>
      </c>
    </row>
    <row r="112" spans="1:11" x14ac:dyDescent="0.35">
      <c r="A112" s="12" t="s">
        <v>440</v>
      </c>
      <c r="B112" s="1" t="s">
        <v>12</v>
      </c>
      <c r="C112" s="1" t="s">
        <v>812</v>
      </c>
      <c r="D112" s="21">
        <f>_xlfn.XLOOKUP(C:C,'[1]Reporte Flexible de Personas - '!$B:$B,'[1]Reporte Flexible de Personas - '!$E:$E)</f>
        <v>46563</v>
      </c>
      <c r="E112" s="21">
        <f>_xlfn.XLOOKUP(C:C,'[1]Reporte Flexible de Personas - '!$B:$B,'[1]Reporte Flexible de Personas - '!$G:$G)</f>
        <v>46655</v>
      </c>
      <c r="F112" s="25">
        <f>_xlfn.XLOOKUP(C:C,'[1]Reporte Flexible de Personas - '!$B:$B,'[1]Reporte Flexible de Personas - '!$I:$I)</f>
        <v>46990</v>
      </c>
      <c r="G112" s="23">
        <f>_xlfn.XLOOKUP(C:C,[2]Planilla!$C:$C,[2]Planilla!$H:$H)</f>
        <v>47659</v>
      </c>
      <c r="H112" s="23">
        <f>_xlfn.XLOOKUP(C:C,[2]Planilla!$C:$C,[2]Planilla!$I:$I)</f>
        <v>47659</v>
      </c>
      <c r="I112" s="23">
        <f>_xlfn.XLOOKUP(C:C,[2]Planilla!$C:$C,[2]Planilla!$J:$J)</f>
        <v>47413</v>
      </c>
      <c r="J112" s="23">
        <f>_xlfn.XLOOKUP(A:A,[3]Matriz!$E:$E,[3]Matriz!$FD:$FD)</f>
        <v>0</v>
      </c>
      <c r="K112" s="23">
        <f>_xlfn.XLOOKUP(A:A,[3]Matriz!$E:$E,[3]Matriz!$FF:$FF)</f>
        <v>0</v>
      </c>
    </row>
    <row r="113" spans="1:11" x14ac:dyDescent="0.35">
      <c r="A113" s="14" t="s">
        <v>476</v>
      </c>
      <c r="B113" s="1" t="s">
        <v>584</v>
      </c>
      <c r="C113" s="1" t="s">
        <v>813</v>
      </c>
      <c r="D113" s="21">
        <f>_xlfn.XLOOKUP(C:C,'[1]Reporte Flexible de Personas - '!$B:$B,'[1]Reporte Flexible de Personas - '!$E:$E)</f>
        <v>47287</v>
      </c>
      <c r="E113" s="21">
        <f>_xlfn.XLOOKUP(C:C,'[1]Reporte Flexible de Personas - '!$B:$B,'[1]Reporte Flexible de Personas - '!$G:$G)</f>
        <v>46238</v>
      </c>
      <c r="F113" s="25">
        <f>_xlfn.XLOOKUP(C:C,'[1]Reporte Flexible de Personas - '!$B:$B,'[1]Reporte Flexible de Personas - '!$I:$I)</f>
        <v>47315</v>
      </c>
      <c r="G113" s="23" t="e">
        <f>_xlfn.XLOOKUP(C:C,[2]Planilla!$C:$C,[2]Planilla!$H:$H)</f>
        <v>#N/A</v>
      </c>
      <c r="H113" s="23" t="e">
        <f>_xlfn.XLOOKUP(C:C,[2]Planilla!$C:$C,[2]Planilla!$I:$I)</f>
        <v>#N/A</v>
      </c>
      <c r="I113" s="23" t="e">
        <f>_xlfn.XLOOKUP(C:C,[2]Planilla!$C:$C,[2]Planilla!$J:$J)</f>
        <v>#N/A</v>
      </c>
      <c r="J113" s="23">
        <f>_xlfn.XLOOKUP(A:A,[3]Matriz!$E:$E,[3]Matriz!$FD:$FD)</f>
        <v>0</v>
      </c>
      <c r="K113" s="23">
        <f>_xlfn.XLOOKUP(A:A,[3]Matriz!$E:$E,[3]Matriz!$FF:$FF)</f>
        <v>0</v>
      </c>
    </row>
    <row r="114" spans="1:11" x14ac:dyDescent="0.35">
      <c r="A114" s="12" t="s">
        <v>351</v>
      </c>
      <c r="B114" s="1" t="s">
        <v>13</v>
      </c>
      <c r="C114" s="1" t="s">
        <v>814</v>
      </c>
      <c r="D114" s="21">
        <f>_xlfn.XLOOKUP(C:C,'[1]Reporte Flexible de Personas - '!$B:$B,'[1]Reporte Flexible de Personas - '!$E:$E)</f>
        <v>47715</v>
      </c>
      <c r="E114" s="21">
        <f>_xlfn.XLOOKUP(C:C,'[1]Reporte Flexible de Personas - '!$B:$B,'[1]Reporte Flexible de Personas - '!$G:$G)</f>
        <v>46517</v>
      </c>
      <c r="F114" s="25">
        <f>_xlfn.XLOOKUP(C:C,'[1]Reporte Flexible de Personas - '!$B:$B,'[1]Reporte Flexible de Personas - '!$I:$I)</f>
        <v>47373</v>
      </c>
      <c r="G114" s="23">
        <f>_xlfn.XLOOKUP(C:C,[2]Planilla!$C:$C,[2]Planilla!$H:$H)</f>
        <v>47406</v>
      </c>
      <c r="H114" s="23">
        <f>_xlfn.XLOOKUP(C:C,[2]Planilla!$C:$C,[2]Planilla!$I:$I)</f>
        <v>47406</v>
      </c>
      <c r="I114" s="23">
        <f>_xlfn.XLOOKUP(C:C,[2]Planilla!$C:$C,[2]Planilla!$J:$J)</f>
        <v>46575</v>
      </c>
      <c r="J114" s="23">
        <f>_xlfn.XLOOKUP(A:A,[3]Matriz!$E:$E,[3]Matriz!$FD:$FD)</f>
        <v>0</v>
      </c>
      <c r="K114" s="23">
        <f>_xlfn.XLOOKUP(A:A,[3]Matriz!$E:$E,[3]Matriz!$FF:$FF)</f>
        <v>0</v>
      </c>
    </row>
    <row r="115" spans="1:11" x14ac:dyDescent="0.35">
      <c r="A115" s="12" t="s">
        <v>542</v>
      </c>
      <c r="B115" s="1" t="s">
        <v>543</v>
      </c>
      <c r="C115" s="1" t="s">
        <v>815</v>
      </c>
      <c r="D115" s="21" t="e">
        <f>_xlfn.XLOOKUP(C:C,'[1]Reporte Flexible de Personas - '!$B:$B,'[1]Reporte Flexible de Personas - '!$E:$E)</f>
        <v>#N/A</v>
      </c>
      <c r="E115" s="21" t="e">
        <f>_xlfn.XLOOKUP(C:C,'[1]Reporte Flexible de Personas - '!$B:$B,'[1]Reporte Flexible de Personas - '!$G:$G)</f>
        <v>#N/A</v>
      </c>
      <c r="F115" s="25" t="e">
        <f>_xlfn.XLOOKUP(C:C,'[1]Reporte Flexible de Personas - '!$B:$B,'[1]Reporte Flexible de Personas - '!$I:$I)</f>
        <v>#N/A</v>
      </c>
      <c r="G115" s="23" t="e">
        <f>_xlfn.XLOOKUP(C:C,[2]Planilla!$C:$C,[2]Planilla!$H:$H)</f>
        <v>#N/A</v>
      </c>
      <c r="H115" s="23" t="e">
        <f>_xlfn.XLOOKUP(C:C,[2]Planilla!$C:$C,[2]Planilla!$I:$I)</f>
        <v>#N/A</v>
      </c>
      <c r="I115" s="23" t="e">
        <f>_xlfn.XLOOKUP(C:C,[2]Planilla!$C:$C,[2]Planilla!$J:$J)</f>
        <v>#N/A</v>
      </c>
      <c r="J115" s="23">
        <f>_xlfn.XLOOKUP(A:A,[3]Matriz!$E:$E,[3]Matriz!$FD:$FD)</f>
        <v>0</v>
      </c>
      <c r="K115" s="23">
        <f>_xlfn.XLOOKUP(A:A,[3]Matriz!$E:$E,[3]Matriz!$FF:$FF)</f>
        <v>0</v>
      </c>
    </row>
    <row r="116" spans="1:11" x14ac:dyDescent="0.35">
      <c r="A116" s="14" t="s">
        <v>390</v>
      </c>
      <c r="B116" s="1" t="s">
        <v>146</v>
      </c>
      <c r="C116" s="1" t="s">
        <v>816</v>
      </c>
      <c r="D116" s="21" t="e">
        <f>_xlfn.XLOOKUP(C:C,'[1]Reporte Flexible de Personas - '!$B:$B,'[1]Reporte Flexible de Personas - '!$E:$E)</f>
        <v>#N/A</v>
      </c>
      <c r="E116" s="21" t="e">
        <f>_xlfn.XLOOKUP(C:C,'[1]Reporte Flexible de Personas - '!$B:$B,'[1]Reporte Flexible de Personas - '!$G:$G)</f>
        <v>#N/A</v>
      </c>
      <c r="F116" s="25" t="e">
        <f>_xlfn.XLOOKUP(C:C,'[1]Reporte Flexible de Personas - '!$B:$B,'[1]Reporte Flexible de Personas - '!$I:$I)</f>
        <v>#N/A</v>
      </c>
      <c r="G116" s="23" t="e">
        <f>_xlfn.XLOOKUP(C:C,[2]Planilla!$C:$C,[2]Planilla!$H:$H)</f>
        <v>#N/A</v>
      </c>
      <c r="H116" s="23" t="e">
        <f>_xlfn.XLOOKUP(C:C,[2]Planilla!$C:$C,[2]Planilla!$I:$I)</f>
        <v>#N/A</v>
      </c>
      <c r="I116" s="23" t="e">
        <f>_xlfn.XLOOKUP(C:C,[2]Planilla!$C:$C,[2]Planilla!$J:$J)</f>
        <v>#N/A</v>
      </c>
      <c r="J116" s="23">
        <f>_xlfn.XLOOKUP(A:A,[3]Matriz!$E:$E,[3]Matriz!$FD:$FD)</f>
        <v>0</v>
      </c>
      <c r="K116" s="23">
        <f>_xlfn.XLOOKUP(A:A,[3]Matriz!$E:$E,[3]Matriz!$FF:$FF)</f>
        <v>0</v>
      </c>
    </row>
    <row r="117" spans="1:11" x14ac:dyDescent="0.35">
      <c r="A117" s="12" t="s">
        <v>514</v>
      </c>
      <c r="B117" s="1" t="s">
        <v>515</v>
      </c>
      <c r="C117" s="1" t="s">
        <v>817</v>
      </c>
      <c r="D117" s="21" t="e">
        <f>_xlfn.XLOOKUP(C:C,'[1]Reporte Flexible de Personas - '!$B:$B,'[1]Reporte Flexible de Personas - '!$E:$E)</f>
        <v>#N/A</v>
      </c>
      <c r="E117" s="21" t="e">
        <f>_xlfn.XLOOKUP(C:C,'[1]Reporte Flexible de Personas - '!$B:$B,'[1]Reporte Flexible de Personas - '!$G:$G)</f>
        <v>#N/A</v>
      </c>
      <c r="F117" s="25" t="e">
        <f>_xlfn.XLOOKUP(C:C,'[1]Reporte Flexible de Personas - '!$B:$B,'[1]Reporte Flexible de Personas - '!$I:$I)</f>
        <v>#N/A</v>
      </c>
      <c r="G117" s="23" t="e">
        <f>_xlfn.XLOOKUP(C:C,[2]Planilla!$C:$C,[2]Planilla!$H:$H)</f>
        <v>#N/A</v>
      </c>
      <c r="H117" s="23" t="e">
        <f>_xlfn.XLOOKUP(C:C,[2]Planilla!$C:$C,[2]Planilla!$I:$I)</f>
        <v>#N/A</v>
      </c>
      <c r="I117" s="23" t="e">
        <f>_xlfn.XLOOKUP(C:C,[2]Planilla!$C:$C,[2]Planilla!$J:$J)</f>
        <v>#N/A</v>
      </c>
      <c r="J117" s="23">
        <f>_xlfn.XLOOKUP(A:A,[3]Matriz!$E:$E,[3]Matriz!$FD:$FD)</f>
        <v>0</v>
      </c>
      <c r="K117" s="23">
        <f>_xlfn.XLOOKUP(A:A,[3]Matriz!$E:$E,[3]Matriz!$FF:$FF)</f>
        <v>0</v>
      </c>
    </row>
    <row r="118" spans="1:11" x14ac:dyDescent="0.35">
      <c r="A118" s="12" t="s">
        <v>365</v>
      </c>
      <c r="B118" s="1" t="s">
        <v>366</v>
      </c>
      <c r="C118" s="1" t="s">
        <v>818</v>
      </c>
      <c r="D118" s="21">
        <f>_xlfn.XLOOKUP(C:C,'[1]Reporte Flexible de Personas - '!$B:$B,'[1]Reporte Flexible de Personas - '!$E:$E)</f>
        <v>49273</v>
      </c>
      <c r="E118" s="21">
        <f>_xlfn.XLOOKUP(C:C,'[1]Reporte Flexible de Personas - '!$B:$B,'[1]Reporte Flexible de Personas - '!$G:$G)</f>
        <v>46662</v>
      </c>
      <c r="F118" s="25">
        <f>_xlfn.XLOOKUP(C:C,'[1]Reporte Flexible de Personas - '!$B:$B,'[1]Reporte Flexible de Personas - '!$I:$I)</f>
        <v>47004</v>
      </c>
      <c r="G118" s="23">
        <f>_xlfn.XLOOKUP(C:C,[2]Planilla!$C:$C,[2]Planilla!$H:$H)</f>
        <v>47082</v>
      </c>
      <c r="H118" s="23">
        <f>_xlfn.XLOOKUP(C:C,[2]Planilla!$C:$C,[2]Planilla!$I:$I)</f>
        <v>47082</v>
      </c>
      <c r="I118" s="23">
        <f>_xlfn.XLOOKUP(C:C,[2]Planilla!$C:$C,[2]Planilla!$J:$J)</f>
        <v>45950</v>
      </c>
      <c r="J118" s="23">
        <f>_xlfn.XLOOKUP(A:A,[3]Matriz!$E:$E,[3]Matriz!$FD:$FD)</f>
        <v>0</v>
      </c>
      <c r="K118" s="23">
        <f>_xlfn.XLOOKUP(A:A,[3]Matriz!$E:$E,[3]Matriz!$FF:$FF)</f>
        <v>46388</v>
      </c>
    </row>
    <row r="119" spans="1:11" x14ac:dyDescent="0.35">
      <c r="A119" s="12" t="s">
        <v>533</v>
      </c>
      <c r="B119" s="1" t="s">
        <v>42</v>
      </c>
      <c r="C119" s="1" t="s">
        <v>819</v>
      </c>
      <c r="D119" s="21">
        <f>_xlfn.XLOOKUP(C:C,'[1]Reporte Flexible de Personas - '!$B:$B,'[1]Reporte Flexible de Personas - '!$E:$E)</f>
        <v>46718</v>
      </c>
      <c r="E119" s="21">
        <f>_xlfn.XLOOKUP(C:C,'[1]Reporte Flexible de Personas - '!$B:$B,'[1]Reporte Flexible de Personas - '!$G:$G)</f>
        <v>46444</v>
      </c>
      <c r="F119" s="25">
        <f>_xlfn.XLOOKUP(C:C,'[1]Reporte Flexible de Personas - '!$B:$B,'[1]Reporte Flexible de Personas - '!$I:$I)</f>
        <v>47206</v>
      </c>
      <c r="G119" s="23">
        <f>_xlfn.XLOOKUP(C:C,[2]Planilla!$C:$C,[2]Planilla!$H:$H)</f>
        <v>46718</v>
      </c>
      <c r="H119" s="23">
        <f>_xlfn.XLOOKUP(C:C,[2]Planilla!$C:$C,[2]Planilla!$I:$I)</f>
        <v>46718</v>
      </c>
      <c r="I119" s="23">
        <f>_xlfn.XLOOKUP(C:C,[2]Planilla!$C:$C,[2]Planilla!$J:$J)</f>
        <v>46267</v>
      </c>
      <c r="J119" s="23">
        <f>_xlfn.XLOOKUP(A:A,[3]Matriz!$E:$E,[3]Matriz!$FD:$FD)</f>
        <v>46388</v>
      </c>
      <c r="K119" s="23">
        <f>_xlfn.XLOOKUP(A:A,[3]Matriz!$E:$E,[3]Matriz!$FF:$FF)</f>
        <v>46388</v>
      </c>
    </row>
    <row r="120" spans="1:11" x14ac:dyDescent="0.35">
      <c r="A120" s="15" t="s">
        <v>265</v>
      </c>
      <c r="B120" s="1" t="s">
        <v>14</v>
      </c>
      <c r="C120" s="1" t="s">
        <v>820</v>
      </c>
      <c r="D120" s="21">
        <f>_xlfn.XLOOKUP(C:C,'[1]Reporte Flexible de Personas - '!$B:$B,'[1]Reporte Flexible de Personas - '!$E:$E)</f>
        <v>46899</v>
      </c>
      <c r="E120" s="21">
        <f>_xlfn.XLOOKUP(C:C,'[1]Reporte Flexible de Personas - '!$B:$B,'[1]Reporte Flexible de Personas - '!$G:$G)</f>
        <v>47250</v>
      </c>
      <c r="F120" s="25">
        <f>_xlfn.XLOOKUP(C:C,'[1]Reporte Flexible de Personas - '!$B:$B,'[1]Reporte Flexible de Personas - '!$I:$I)</f>
        <v>46276</v>
      </c>
      <c r="G120" s="23">
        <f>_xlfn.XLOOKUP(C:C,[2]Planilla!$C:$C,[2]Planilla!$H:$H)</f>
        <v>46168</v>
      </c>
      <c r="H120" s="23">
        <f>_xlfn.XLOOKUP(C:C,[2]Planilla!$C:$C,[2]Planilla!$I:$I)</f>
        <v>46168</v>
      </c>
      <c r="I120" s="23">
        <f>_xlfn.XLOOKUP(C:C,[2]Planilla!$C:$C,[2]Planilla!$J:$J)</f>
        <v>46902</v>
      </c>
      <c r="J120" s="23">
        <f>_xlfn.XLOOKUP(A:A,[3]Matriz!$E:$E,[3]Matriz!$FD:$FD)</f>
        <v>0</v>
      </c>
      <c r="K120" s="23">
        <f>_xlfn.XLOOKUP(A:A,[3]Matriz!$E:$E,[3]Matriz!$FF:$FF)</f>
        <v>0</v>
      </c>
    </row>
    <row r="121" spans="1:11" x14ac:dyDescent="0.35">
      <c r="A121" s="12" t="s">
        <v>511</v>
      </c>
      <c r="B121" s="1" t="s">
        <v>43</v>
      </c>
      <c r="C121" s="1" t="s">
        <v>821</v>
      </c>
      <c r="D121" s="21">
        <f>_xlfn.XLOOKUP(C:C,'[1]Reporte Flexible de Personas - '!$B:$B,'[1]Reporte Flexible de Personas - '!$E:$E)</f>
        <v>47730</v>
      </c>
      <c r="E121" s="21">
        <f>_xlfn.XLOOKUP(C:C,'[1]Reporte Flexible de Personas - '!$B:$B,'[1]Reporte Flexible de Personas - '!$G:$G)</f>
        <v>46241</v>
      </c>
      <c r="F121" s="25">
        <f>_xlfn.XLOOKUP(C:C,'[1]Reporte Flexible de Personas - '!$B:$B,'[1]Reporte Flexible de Personas - '!$I:$I)</f>
        <v>46836</v>
      </c>
      <c r="G121" s="23">
        <f>_xlfn.XLOOKUP(C:C,[2]Planilla!$C:$C,[2]Planilla!$H:$H)</f>
        <v>47365</v>
      </c>
      <c r="H121" s="23">
        <f>_xlfn.XLOOKUP(C:C,[2]Planilla!$C:$C,[2]Planilla!$I:$I)</f>
        <v>47365</v>
      </c>
      <c r="I121" s="23">
        <f>_xlfn.XLOOKUP(C:C,[2]Planilla!$C:$C,[2]Planilla!$J:$J)</f>
        <v>46294</v>
      </c>
      <c r="J121" s="23">
        <f>_xlfn.XLOOKUP(A:A,[3]Matriz!$E:$E,[3]Matriz!$FD:$FD)</f>
        <v>0</v>
      </c>
      <c r="K121" s="23">
        <f>_xlfn.XLOOKUP(A:A,[3]Matriz!$E:$E,[3]Matriz!$FF:$FF)</f>
        <v>0</v>
      </c>
    </row>
    <row r="122" spans="1:11" x14ac:dyDescent="0.35">
      <c r="A122" s="12" t="s">
        <v>322</v>
      </c>
      <c r="B122" s="1" t="s">
        <v>100</v>
      </c>
      <c r="C122" s="1" t="s">
        <v>822</v>
      </c>
      <c r="D122" s="21">
        <f>_xlfn.XLOOKUP(C:C,'[1]Reporte Flexible de Personas - '!$B:$B,'[1]Reporte Flexible de Personas - '!$E:$E)</f>
        <v>48963</v>
      </c>
      <c r="E122" s="21">
        <f>_xlfn.XLOOKUP(C:C,'[1]Reporte Flexible de Personas - '!$B:$B,'[1]Reporte Flexible de Personas - '!$G:$G)</f>
        <v>46809</v>
      </c>
      <c r="F122" s="25">
        <f>_xlfn.XLOOKUP(C:C,'[1]Reporte Flexible de Personas - '!$B:$B,'[1]Reporte Flexible de Personas - '!$I:$I)</f>
        <v>47322</v>
      </c>
      <c r="G122" s="23" t="e">
        <f>_xlfn.XLOOKUP(C:C,[2]Planilla!$C:$C,[2]Planilla!$H:$H)</f>
        <v>#N/A</v>
      </c>
      <c r="H122" s="23" t="e">
        <f>_xlfn.XLOOKUP(C:C,[2]Planilla!$C:$C,[2]Planilla!$I:$I)</f>
        <v>#N/A</v>
      </c>
      <c r="I122" s="23" t="e">
        <f>_xlfn.XLOOKUP(C:C,[2]Planilla!$C:$C,[2]Planilla!$J:$J)</f>
        <v>#N/A</v>
      </c>
      <c r="J122" s="23">
        <f>_xlfn.XLOOKUP(A:A,[3]Matriz!$E:$E,[3]Matriz!$FD:$FD)</f>
        <v>0</v>
      </c>
      <c r="K122" s="23">
        <f>_xlfn.XLOOKUP(A:A,[3]Matriz!$E:$E,[3]Matriz!$FF:$FF)</f>
        <v>0</v>
      </c>
    </row>
    <row r="123" spans="1:11" x14ac:dyDescent="0.35">
      <c r="A123" s="12" t="s">
        <v>438</v>
      </c>
      <c r="B123" s="1" t="s">
        <v>170</v>
      </c>
      <c r="C123" s="1" t="s">
        <v>823</v>
      </c>
      <c r="D123" s="21">
        <f>_xlfn.XLOOKUP(C:C,'[1]Reporte Flexible de Personas - '!$B:$B,'[1]Reporte Flexible de Personas - '!$E:$E)</f>
        <v>47339</v>
      </c>
      <c r="E123" s="21">
        <f>_xlfn.XLOOKUP(C:C,'[1]Reporte Flexible de Personas - '!$B:$B,'[1]Reporte Flexible de Personas - '!$G:$G)</f>
        <v>46592</v>
      </c>
      <c r="F123" s="25">
        <f>_xlfn.XLOOKUP(C:C,'[1]Reporte Flexible de Personas - '!$B:$B,'[1]Reporte Flexible de Personas - '!$I:$I)</f>
        <v>47077</v>
      </c>
      <c r="G123" s="23">
        <f>_xlfn.XLOOKUP(C:C,[2]Planilla!$C:$C,[2]Planilla!$H:$H)</f>
        <v>46974</v>
      </c>
      <c r="H123" s="23">
        <f>_xlfn.XLOOKUP(C:C,[2]Planilla!$C:$C,[2]Planilla!$I:$I)</f>
        <v>46553</v>
      </c>
      <c r="I123" s="23">
        <f>_xlfn.XLOOKUP(C:C,[2]Planilla!$C:$C,[2]Planilla!$J:$J)</f>
        <v>47338</v>
      </c>
      <c r="J123" s="23">
        <f>_xlfn.XLOOKUP(A:A,[3]Matriz!$E:$E,[3]Matriz!$FD:$FD)</f>
        <v>0</v>
      </c>
      <c r="K123" s="23">
        <f>_xlfn.XLOOKUP(A:A,[3]Matriz!$E:$E,[3]Matriz!$FF:$FF)</f>
        <v>0</v>
      </c>
    </row>
    <row r="124" spans="1:11" x14ac:dyDescent="0.35">
      <c r="A124" s="12" t="s">
        <v>567</v>
      </c>
      <c r="B124" s="1" t="s">
        <v>568</v>
      </c>
      <c r="C124" s="1" t="s">
        <v>824</v>
      </c>
      <c r="D124" s="21" t="e">
        <f>_xlfn.XLOOKUP(C:C,'[1]Reporte Flexible de Personas - '!$B:$B,'[1]Reporte Flexible de Personas - '!$E:$E)</f>
        <v>#N/A</v>
      </c>
      <c r="E124" s="21" t="e">
        <f>_xlfn.XLOOKUP(C:C,'[1]Reporte Flexible de Personas - '!$B:$B,'[1]Reporte Flexible de Personas - '!$G:$G)</f>
        <v>#N/A</v>
      </c>
      <c r="F124" s="25" t="e">
        <f>_xlfn.XLOOKUP(C:C,'[1]Reporte Flexible de Personas - '!$B:$B,'[1]Reporte Flexible de Personas - '!$I:$I)</f>
        <v>#N/A</v>
      </c>
      <c r="G124" s="23" t="e">
        <f>_xlfn.XLOOKUP(C:C,[2]Planilla!$C:$C,[2]Planilla!$H:$H)</f>
        <v>#N/A</v>
      </c>
      <c r="H124" s="23" t="e">
        <f>_xlfn.XLOOKUP(C:C,[2]Planilla!$C:$C,[2]Planilla!$I:$I)</f>
        <v>#N/A</v>
      </c>
      <c r="I124" s="23" t="e">
        <f>_xlfn.XLOOKUP(C:C,[2]Planilla!$C:$C,[2]Planilla!$J:$J)</f>
        <v>#N/A</v>
      </c>
      <c r="J124" s="23">
        <f>_xlfn.XLOOKUP(A:A,[3]Matriz!$E:$E,[3]Matriz!$FD:$FD)</f>
        <v>0</v>
      </c>
      <c r="K124" s="23">
        <f>_xlfn.XLOOKUP(A:A,[3]Matriz!$E:$E,[3]Matriz!$FF:$FF)</f>
        <v>0</v>
      </c>
    </row>
    <row r="125" spans="1:11" x14ac:dyDescent="0.35">
      <c r="A125" s="12" t="s">
        <v>372</v>
      </c>
      <c r="B125" s="1" t="s">
        <v>373</v>
      </c>
      <c r="C125" s="1" t="s">
        <v>825</v>
      </c>
      <c r="D125" s="21">
        <f>_xlfn.XLOOKUP(C:C,'[1]Reporte Flexible de Personas - '!$B:$B,'[1]Reporte Flexible de Personas - '!$E:$E)</f>
        <v>46971</v>
      </c>
      <c r="E125" s="21">
        <f>_xlfn.XLOOKUP(C:C,'[1]Reporte Flexible de Personas - '!$B:$B,'[1]Reporte Flexible de Personas - '!$G:$G)</f>
        <v>46931</v>
      </c>
      <c r="F125" s="25">
        <f>_xlfn.XLOOKUP(C:C,'[1]Reporte Flexible de Personas - '!$B:$B,'[1]Reporte Flexible de Personas - '!$I:$I)</f>
        <v>47208</v>
      </c>
      <c r="G125" s="23">
        <f>_xlfn.XLOOKUP(C:C,[2]Planilla!$C:$C,[2]Planilla!$H:$H)</f>
        <v>46240</v>
      </c>
      <c r="H125" s="23">
        <f>_xlfn.XLOOKUP(C:C,[2]Planilla!$C:$C,[2]Planilla!$I:$I)</f>
        <v>46240</v>
      </c>
      <c r="I125" s="23">
        <f>_xlfn.XLOOKUP(C:C,[2]Planilla!$C:$C,[2]Planilla!$J:$J)</f>
        <v>46516</v>
      </c>
      <c r="J125" s="23">
        <f>_xlfn.XLOOKUP(A:A,[3]Matriz!$E:$E,[3]Matriz!$FD:$FD)</f>
        <v>0</v>
      </c>
      <c r="K125" s="23">
        <f>_xlfn.XLOOKUP(A:A,[3]Matriz!$E:$E,[3]Matriz!$FF:$FF)</f>
        <v>0</v>
      </c>
    </row>
    <row r="126" spans="1:11" x14ac:dyDescent="0.35">
      <c r="A126" s="12" t="s">
        <v>281</v>
      </c>
      <c r="B126" s="1" t="s">
        <v>240</v>
      </c>
      <c r="C126" s="1" t="s">
        <v>826</v>
      </c>
      <c r="D126" s="21" t="e">
        <f>_xlfn.XLOOKUP(C:C,'[1]Reporte Flexible de Personas - '!$B:$B,'[1]Reporte Flexible de Personas - '!$E:$E)</f>
        <v>#N/A</v>
      </c>
      <c r="E126" s="21" t="e">
        <f>_xlfn.XLOOKUP(C:C,'[1]Reporte Flexible de Personas - '!$B:$B,'[1]Reporte Flexible de Personas - '!$G:$G)</f>
        <v>#N/A</v>
      </c>
      <c r="F126" s="25" t="e">
        <f>_xlfn.XLOOKUP(C:C,'[1]Reporte Flexible de Personas - '!$B:$B,'[1]Reporte Flexible de Personas - '!$I:$I)</f>
        <v>#N/A</v>
      </c>
      <c r="G126" s="23" t="e">
        <f>_xlfn.XLOOKUP(C:C,[2]Planilla!$C:$C,[2]Planilla!$H:$H)</f>
        <v>#N/A</v>
      </c>
      <c r="H126" s="23" t="e">
        <f>_xlfn.XLOOKUP(C:C,[2]Planilla!$C:$C,[2]Planilla!$I:$I)</f>
        <v>#N/A</v>
      </c>
      <c r="I126" s="23" t="e">
        <f>_xlfn.XLOOKUP(C:C,[2]Planilla!$C:$C,[2]Planilla!$J:$J)</f>
        <v>#N/A</v>
      </c>
      <c r="J126" s="23">
        <f>_xlfn.XLOOKUP(A:A,[3]Matriz!$E:$E,[3]Matriz!$FD:$FD)</f>
        <v>0</v>
      </c>
      <c r="K126" s="23">
        <f>_xlfn.XLOOKUP(A:A,[3]Matriz!$E:$E,[3]Matriz!$FF:$FF)</f>
        <v>0</v>
      </c>
    </row>
    <row r="127" spans="1:11" x14ac:dyDescent="0.35">
      <c r="A127" s="12" t="s">
        <v>427</v>
      </c>
      <c r="B127" s="1" t="s">
        <v>213</v>
      </c>
      <c r="C127" s="1" t="s">
        <v>827</v>
      </c>
      <c r="D127" s="21">
        <f>_xlfn.XLOOKUP(C:C,'[1]Reporte Flexible de Personas - '!$B:$B,'[1]Reporte Flexible de Personas - '!$E:$E)</f>
        <v>46338</v>
      </c>
      <c r="E127" s="21">
        <f>_xlfn.XLOOKUP(C:C,'[1]Reporte Flexible de Personas - '!$B:$B,'[1]Reporte Flexible de Personas - '!$G:$G)</f>
        <v>46452</v>
      </c>
      <c r="F127" s="25">
        <f>_xlfn.XLOOKUP(C:C,'[1]Reporte Flexible de Personas - '!$B:$B,'[1]Reporte Flexible de Personas - '!$I:$I)</f>
        <v>47305</v>
      </c>
      <c r="G127" s="23">
        <f>_xlfn.XLOOKUP(C:C,[2]Planilla!$C:$C,[2]Planilla!$H:$H)</f>
        <v>45973</v>
      </c>
      <c r="H127" s="23">
        <f>_xlfn.XLOOKUP(C:C,[2]Planilla!$C:$C,[2]Planilla!$I:$I)</f>
        <v>45973</v>
      </c>
      <c r="I127" s="23">
        <f>_xlfn.XLOOKUP(C:C,[2]Planilla!$C:$C,[2]Planilla!$J:$J)</f>
        <v>46170</v>
      </c>
      <c r="J127" s="23">
        <f>_xlfn.XLOOKUP(A:A,[3]Matriz!$E:$E,[3]Matriz!$FD:$FD)</f>
        <v>46388</v>
      </c>
      <c r="K127" s="23">
        <f>_xlfn.XLOOKUP(A:A,[3]Matriz!$E:$E,[3]Matriz!$FF:$FF)</f>
        <v>0</v>
      </c>
    </row>
    <row r="128" spans="1:11" x14ac:dyDescent="0.35">
      <c r="A128" s="12" t="s">
        <v>339</v>
      </c>
      <c r="B128" s="1" t="s">
        <v>578</v>
      </c>
      <c r="C128" s="1" t="s">
        <v>828</v>
      </c>
      <c r="D128" s="21">
        <f>_xlfn.XLOOKUP(C:C,'[1]Reporte Flexible de Personas - '!$B:$B,'[1]Reporte Flexible de Personas - '!$E:$E)</f>
        <v>48278</v>
      </c>
      <c r="E128" s="21">
        <f>_xlfn.XLOOKUP(C:C,'[1]Reporte Flexible de Personas - '!$B:$B,'[1]Reporte Flexible de Personas - '!$G:$G)</f>
        <v>46768</v>
      </c>
      <c r="F128" s="25">
        <f>_xlfn.XLOOKUP(C:C,'[1]Reporte Flexible de Personas - '!$B:$B,'[1]Reporte Flexible de Personas - '!$I:$I)</f>
        <v>47568</v>
      </c>
      <c r="G128" s="23" t="e">
        <f>_xlfn.XLOOKUP(C:C,[2]Planilla!$C:$C,[2]Planilla!$H:$H)</f>
        <v>#N/A</v>
      </c>
      <c r="H128" s="23" t="e">
        <f>_xlfn.XLOOKUP(C:C,[2]Planilla!$C:$C,[2]Planilla!$I:$I)</f>
        <v>#N/A</v>
      </c>
      <c r="I128" s="23" t="e">
        <f>_xlfn.XLOOKUP(C:C,[2]Planilla!$C:$C,[2]Planilla!$J:$J)</f>
        <v>#N/A</v>
      </c>
      <c r="J128" s="23">
        <f>_xlfn.XLOOKUP(A:A,[3]Matriz!$E:$E,[3]Matriz!$FD:$FD)</f>
        <v>0</v>
      </c>
      <c r="K128" s="23">
        <f>_xlfn.XLOOKUP(A:A,[3]Matriz!$E:$E,[3]Matriz!$FF:$FF)</f>
        <v>0</v>
      </c>
    </row>
    <row r="129" spans="1:11" x14ac:dyDescent="0.35">
      <c r="A129" s="12" t="s">
        <v>519</v>
      </c>
      <c r="B129" s="1" t="s">
        <v>101</v>
      </c>
      <c r="C129" s="1" t="s">
        <v>829</v>
      </c>
      <c r="D129" s="21">
        <f>_xlfn.XLOOKUP(C:C,'[1]Reporte Flexible de Personas - '!$B:$B,'[1]Reporte Flexible de Personas - '!$E:$E)</f>
        <v>46452</v>
      </c>
      <c r="E129" s="21">
        <f>_xlfn.XLOOKUP(C:C,'[1]Reporte Flexible de Personas - '!$B:$B,'[1]Reporte Flexible de Personas - '!$G:$G)</f>
        <v>46506</v>
      </c>
      <c r="F129" s="25">
        <f>_xlfn.XLOOKUP(C:C,'[1]Reporte Flexible de Personas - '!$B:$B,'[1]Reporte Flexible de Personas - '!$I:$I)</f>
        <v>47011</v>
      </c>
      <c r="G129" s="23">
        <f>_xlfn.XLOOKUP(C:C,[2]Planilla!$C:$C,[2]Planilla!$H:$H)</f>
        <v>46271</v>
      </c>
      <c r="H129" s="23">
        <f>_xlfn.XLOOKUP(C:C,[2]Planilla!$C:$C,[2]Planilla!$I:$I)</f>
        <v>46218</v>
      </c>
      <c r="I129" s="23">
        <f>_xlfn.XLOOKUP(C:C,[2]Planilla!$C:$C,[2]Planilla!$J:$J)</f>
        <v>46444</v>
      </c>
      <c r="J129" s="23">
        <f>_xlfn.XLOOKUP(A:A,[3]Matriz!$E:$E,[3]Matriz!$FD:$FD)</f>
        <v>0</v>
      </c>
      <c r="K129" s="23">
        <f>_xlfn.XLOOKUP(A:A,[3]Matriz!$E:$E,[3]Matriz!$FF:$FF)</f>
        <v>46388</v>
      </c>
    </row>
    <row r="130" spans="1:11" x14ac:dyDescent="0.35">
      <c r="A130" s="12" t="s">
        <v>363</v>
      </c>
      <c r="B130" s="1" t="s">
        <v>44</v>
      </c>
      <c r="C130" s="1" t="s">
        <v>830</v>
      </c>
      <c r="D130" s="21">
        <f>_xlfn.XLOOKUP(C:C,'[1]Reporte Flexible de Personas - '!$B:$B,'[1]Reporte Flexible de Personas - '!$E:$E)</f>
        <v>49248</v>
      </c>
      <c r="E130" s="21">
        <f>_xlfn.XLOOKUP(C:C,'[1]Reporte Flexible de Personas - '!$B:$B,'[1]Reporte Flexible de Personas - '!$G:$G)</f>
        <v>46430</v>
      </c>
      <c r="F130" s="25">
        <f>_xlfn.XLOOKUP(C:C,'[1]Reporte Flexible de Personas - '!$B:$B,'[1]Reporte Flexible de Personas - '!$I:$I)</f>
        <v>47124</v>
      </c>
      <c r="G130" s="23">
        <f>_xlfn.XLOOKUP(C:C,[2]Planilla!$C:$C,[2]Planilla!$H:$H)</f>
        <v>45961</v>
      </c>
      <c r="H130" s="23">
        <f>_xlfn.XLOOKUP(C:C,[2]Planilla!$C:$C,[2]Planilla!$I:$I)</f>
        <v>45961</v>
      </c>
      <c r="I130" s="23">
        <f>_xlfn.XLOOKUP(C:C,[2]Planilla!$C:$C,[2]Planilla!$J:$J)</f>
        <v>45851</v>
      </c>
      <c r="J130" s="23">
        <f>_xlfn.XLOOKUP(A:A,[3]Matriz!$E:$E,[3]Matriz!$FD:$FD)</f>
        <v>46388</v>
      </c>
      <c r="K130" s="23">
        <f>_xlfn.XLOOKUP(A:A,[3]Matriz!$E:$E,[3]Matriz!$FF:$FF)</f>
        <v>0</v>
      </c>
    </row>
    <row r="131" spans="1:11" x14ac:dyDescent="0.35">
      <c r="A131" s="14" t="s">
        <v>450</v>
      </c>
      <c r="B131" s="1" t="s">
        <v>45</v>
      </c>
      <c r="C131" s="1" t="s">
        <v>831</v>
      </c>
      <c r="D131" s="21">
        <f>_xlfn.XLOOKUP(C:C,'[1]Reporte Flexible de Personas - '!$B:$B,'[1]Reporte Flexible de Personas - '!$E:$E)</f>
        <v>46873</v>
      </c>
      <c r="E131" s="21">
        <f>_xlfn.XLOOKUP(C:C,'[1]Reporte Flexible de Personas - '!$B:$B,'[1]Reporte Flexible de Personas - '!$G:$G)</f>
        <v>47048</v>
      </c>
      <c r="F131" s="25">
        <f>_xlfn.XLOOKUP(C:C,'[1]Reporte Flexible de Personas - '!$B:$B,'[1]Reporte Flexible de Personas - '!$I:$I)</f>
        <v>47085</v>
      </c>
      <c r="G131" s="23" t="e">
        <f>_xlfn.XLOOKUP(C:C,[2]Planilla!$C:$C,[2]Planilla!$H:$H)</f>
        <v>#N/A</v>
      </c>
      <c r="H131" s="23" t="e">
        <f>_xlfn.XLOOKUP(C:C,[2]Planilla!$C:$C,[2]Planilla!$I:$I)</f>
        <v>#N/A</v>
      </c>
      <c r="I131" s="23" t="e">
        <f>_xlfn.XLOOKUP(C:C,[2]Planilla!$C:$C,[2]Planilla!$J:$J)</f>
        <v>#N/A</v>
      </c>
      <c r="J131" s="23">
        <f>_xlfn.XLOOKUP(A:A,[3]Matriz!$E:$E,[3]Matriz!$FD:$FD)</f>
        <v>0</v>
      </c>
      <c r="K131" s="23">
        <f>_xlfn.XLOOKUP(A:A,[3]Matriz!$E:$E,[3]Matriz!$FF:$FF)</f>
        <v>0</v>
      </c>
    </row>
    <row r="132" spans="1:11" x14ac:dyDescent="0.35">
      <c r="A132" s="12" t="s">
        <v>323</v>
      </c>
      <c r="B132" s="1" t="s">
        <v>102</v>
      </c>
      <c r="C132" s="1" t="s">
        <v>832</v>
      </c>
      <c r="D132" s="21">
        <f>_xlfn.XLOOKUP(C:C,'[1]Reporte Flexible de Personas - '!$B:$B,'[1]Reporte Flexible de Personas - '!$E:$E)</f>
        <v>48361</v>
      </c>
      <c r="E132" s="21">
        <f>_xlfn.XLOOKUP(C:C,'[1]Reporte Flexible de Personas - '!$B:$B,'[1]Reporte Flexible de Personas - '!$G:$G)</f>
        <v>46895</v>
      </c>
      <c r="F132" s="25">
        <f>_xlfn.XLOOKUP(C:C,'[1]Reporte Flexible de Personas - '!$B:$B,'[1]Reporte Flexible de Personas - '!$I:$I)</f>
        <v>46342</v>
      </c>
      <c r="G132" s="23" t="e">
        <f>_xlfn.XLOOKUP(C:C,[2]Planilla!$C:$C,[2]Planilla!$H:$H)</f>
        <v>#N/A</v>
      </c>
      <c r="H132" s="23" t="e">
        <f>_xlfn.XLOOKUP(C:C,[2]Planilla!$C:$C,[2]Planilla!$I:$I)</f>
        <v>#N/A</v>
      </c>
      <c r="I132" s="23" t="e">
        <f>_xlfn.XLOOKUP(C:C,[2]Planilla!$C:$C,[2]Planilla!$J:$J)</f>
        <v>#N/A</v>
      </c>
      <c r="J132" s="23">
        <f>_xlfn.XLOOKUP(A:A,[3]Matriz!$E:$E,[3]Matriz!$FD:$FD)</f>
        <v>0</v>
      </c>
      <c r="K132" s="23">
        <f>_xlfn.XLOOKUP(A:A,[3]Matriz!$E:$E,[3]Matriz!$FF:$FF)</f>
        <v>0</v>
      </c>
    </row>
    <row r="133" spans="1:11" x14ac:dyDescent="0.35">
      <c r="A133" s="12" t="s">
        <v>424</v>
      </c>
      <c r="B133" s="1" t="s">
        <v>103</v>
      </c>
      <c r="C133" s="1" t="s">
        <v>833</v>
      </c>
      <c r="D133" s="21">
        <f>_xlfn.XLOOKUP(C:C,'[1]Reporte Flexible de Personas - '!$B:$B,'[1]Reporte Flexible de Personas - '!$E:$E)</f>
        <v>47009</v>
      </c>
      <c r="E133" s="21">
        <f>_xlfn.XLOOKUP(C:C,'[1]Reporte Flexible de Personas - '!$B:$B,'[1]Reporte Flexible de Personas - '!$G:$G)</f>
        <v>46515</v>
      </c>
      <c r="F133" s="25">
        <f>_xlfn.XLOOKUP(C:C,'[1]Reporte Flexible de Personas - '!$B:$B,'[1]Reporte Flexible de Personas - '!$I:$I)</f>
        <v>47482</v>
      </c>
      <c r="G133" s="23" t="e">
        <f>_xlfn.XLOOKUP(C:C,[2]Planilla!$C:$C,[2]Planilla!$H:$H)</f>
        <v>#N/A</v>
      </c>
      <c r="H133" s="23" t="e">
        <f>_xlfn.XLOOKUP(C:C,[2]Planilla!$C:$C,[2]Planilla!$I:$I)</f>
        <v>#N/A</v>
      </c>
      <c r="I133" s="23" t="e">
        <f>_xlfn.XLOOKUP(C:C,[2]Planilla!$C:$C,[2]Planilla!$J:$J)</f>
        <v>#N/A</v>
      </c>
      <c r="J133" s="23">
        <f>_xlfn.XLOOKUP(A:A,[3]Matriz!$E:$E,[3]Matriz!$FD:$FD)</f>
        <v>0</v>
      </c>
      <c r="K133" s="23">
        <f>_xlfn.XLOOKUP(A:A,[3]Matriz!$E:$E,[3]Matriz!$FF:$FF)</f>
        <v>0</v>
      </c>
    </row>
    <row r="134" spans="1:11" x14ac:dyDescent="0.35">
      <c r="A134" s="12" t="s">
        <v>423</v>
      </c>
      <c r="B134" s="1" t="s">
        <v>171</v>
      </c>
      <c r="C134" s="1" t="s">
        <v>834</v>
      </c>
      <c r="D134" s="21">
        <f>_xlfn.XLOOKUP(C:C,'[1]Reporte Flexible de Personas - '!$B:$B,'[1]Reporte Flexible de Personas - '!$E:$E)</f>
        <v>47035</v>
      </c>
      <c r="E134" s="21">
        <f>_xlfn.XLOOKUP(C:C,'[1]Reporte Flexible de Personas - '!$B:$B,'[1]Reporte Flexible de Personas - '!$G:$G)</f>
        <v>47053</v>
      </c>
      <c r="F134" s="25">
        <f>_xlfn.XLOOKUP(C:C,'[1]Reporte Flexible de Personas - '!$B:$B,'[1]Reporte Flexible de Personas - '!$I:$I)</f>
        <v>47172</v>
      </c>
      <c r="G134" s="23">
        <f>_xlfn.XLOOKUP(C:C,[2]Planilla!$C:$C,[2]Planilla!$H:$H)</f>
        <v>47035</v>
      </c>
      <c r="H134" s="23">
        <f>_xlfn.XLOOKUP(C:C,[2]Planilla!$C:$C,[2]Planilla!$I:$I)</f>
        <v>47035</v>
      </c>
      <c r="I134" s="23">
        <f>_xlfn.XLOOKUP(C:C,[2]Planilla!$C:$C,[2]Planilla!$J:$J)</f>
        <v>46734</v>
      </c>
      <c r="J134" s="23">
        <f>_xlfn.XLOOKUP(A:A,[3]Matriz!$E:$E,[3]Matriz!$FD:$FD)</f>
        <v>0</v>
      </c>
      <c r="K134" s="23">
        <f>_xlfn.XLOOKUP(A:A,[3]Matriz!$E:$E,[3]Matriz!$FF:$FF)</f>
        <v>46388</v>
      </c>
    </row>
    <row r="135" spans="1:11" x14ac:dyDescent="0.35">
      <c r="A135" s="12" t="s">
        <v>494</v>
      </c>
      <c r="B135" s="1" t="s">
        <v>46</v>
      </c>
      <c r="C135" s="1" t="s">
        <v>835</v>
      </c>
      <c r="D135" s="21">
        <f>_xlfn.XLOOKUP(C:C,'[1]Reporte Flexible de Personas - '!$B:$B,'[1]Reporte Flexible de Personas - '!$E:$E)</f>
        <v>47113</v>
      </c>
      <c r="E135" s="21">
        <f>_xlfn.XLOOKUP(C:C,'[1]Reporte Flexible de Personas - '!$B:$B,'[1]Reporte Flexible de Personas - '!$G:$G)</f>
        <v>46987</v>
      </c>
      <c r="F135" s="25">
        <f>_xlfn.XLOOKUP(C:C,'[1]Reporte Flexible de Personas - '!$B:$B,'[1]Reporte Flexible de Personas - '!$I:$I)</f>
        <v>47567</v>
      </c>
      <c r="G135" s="23" t="e">
        <f>_xlfn.XLOOKUP(C:C,[2]Planilla!$C:$C,[2]Planilla!$H:$H)</f>
        <v>#N/A</v>
      </c>
      <c r="H135" s="23" t="e">
        <f>_xlfn.XLOOKUP(C:C,[2]Planilla!$C:$C,[2]Planilla!$I:$I)</f>
        <v>#N/A</v>
      </c>
      <c r="I135" s="23" t="e">
        <f>_xlfn.XLOOKUP(C:C,[2]Planilla!$C:$C,[2]Planilla!$J:$J)</f>
        <v>#N/A</v>
      </c>
      <c r="J135" s="23">
        <f>_xlfn.XLOOKUP(A:A,[3]Matriz!$E:$E,[3]Matriz!$FD:$FD)</f>
        <v>0</v>
      </c>
      <c r="K135" s="23">
        <f>_xlfn.XLOOKUP(A:A,[3]Matriz!$E:$E,[3]Matriz!$FF:$FF)</f>
        <v>0</v>
      </c>
    </row>
    <row r="136" spans="1:11" x14ac:dyDescent="0.35">
      <c r="A136" s="12" t="s">
        <v>267</v>
      </c>
      <c r="B136" s="1" t="s">
        <v>15</v>
      </c>
      <c r="C136" s="1" t="s">
        <v>836</v>
      </c>
      <c r="D136" s="21">
        <f>_xlfn.XLOOKUP(C:C,'[1]Reporte Flexible de Personas - '!$B:$B,'[1]Reporte Flexible de Personas - '!$E:$E)</f>
        <v>47172</v>
      </c>
      <c r="E136" s="21">
        <f>_xlfn.XLOOKUP(C:C,'[1]Reporte Flexible de Personas - '!$B:$B,'[1]Reporte Flexible de Personas - '!$G:$G)</f>
        <v>47007</v>
      </c>
      <c r="F136" s="25">
        <f>_xlfn.XLOOKUP(C:C,'[1]Reporte Flexible de Personas - '!$B:$B,'[1]Reporte Flexible de Personas - '!$I:$I)</f>
        <v>47425</v>
      </c>
      <c r="G136" s="23">
        <f>_xlfn.XLOOKUP(C:C,[2]Planilla!$C:$C,[2]Planilla!$H:$H)</f>
        <v>46806</v>
      </c>
      <c r="H136" s="23">
        <f>_xlfn.XLOOKUP(C:C,[2]Planilla!$C:$C,[2]Planilla!$I:$I)</f>
        <v>46806</v>
      </c>
      <c r="I136" s="23">
        <f>_xlfn.XLOOKUP(C:C,[2]Planilla!$C:$C,[2]Planilla!$J:$J)</f>
        <v>47474</v>
      </c>
      <c r="J136" s="23">
        <f>_xlfn.XLOOKUP(A:A,[3]Matriz!$E:$E,[3]Matriz!$FD:$FD)</f>
        <v>0</v>
      </c>
      <c r="K136" s="23">
        <f>_xlfn.XLOOKUP(A:A,[3]Matriz!$E:$E,[3]Matriz!$FF:$FF)</f>
        <v>0</v>
      </c>
    </row>
    <row r="137" spans="1:11" x14ac:dyDescent="0.35">
      <c r="A137" s="12" t="s">
        <v>355</v>
      </c>
      <c r="B137" s="1" t="s">
        <v>47</v>
      </c>
      <c r="C137" s="1" t="s">
        <v>837</v>
      </c>
      <c r="D137" s="21">
        <f>_xlfn.XLOOKUP(C:C,'[1]Reporte Flexible de Personas - '!$B:$B,'[1]Reporte Flexible de Personas - '!$E:$E)</f>
        <v>47980</v>
      </c>
      <c r="E137" s="21">
        <f>_xlfn.XLOOKUP(C:C,'[1]Reporte Flexible de Personas - '!$B:$B,'[1]Reporte Flexible de Personas - '!$G:$G)</f>
        <v>46984</v>
      </c>
      <c r="F137" s="25">
        <f>_xlfn.XLOOKUP(C:C,'[1]Reporte Flexible de Personas - '!$B:$B,'[1]Reporte Flexible de Personas - '!$I:$I)</f>
        <v>47004</v>
      </c>
      <c r="G137" s="23">
        <f>_xlfn.XLOOKUP(C:C,[2]Planilla!$C:$C,[2]Planilla!$H:$H)</f>
        <v>47615</v>
      </c>
      <c r="H137" s="23">
        <f>_xlfn.XLOOKUP(C:C,[2]Planilla!$C:$C,[2]Planilla!$I:$I)</f>
        <v>47615</v>
      </c>
      <c r="I137" s="23">
        <f>_xlfn.XLOOKUP(C:C,[2]Planilla!$C:$C,[2]Planilla!$J:$J)</f>
        <v>46463</v>
      </c>
      <c r="J137" s="23">
        <f>_xlfn.XLOOKUP(A:A,[3]Matriz!$E:$E,[3]Matriz!$FD:$FD)</f>
        <v>0</v>
      </c>
      <c r="K137" s="23">
        <f>_xlfn.XLOOKUP(A:A,[3]Matriz!$E:$E,[3]Matriz!$FF:$FF)</f>
        <v>0</v>
      </c>
    </row>
    <row r="138" spans="1:11" x14ac:dyDescent="0.35">
      <c r="A138" s="12" t="s">
        <v>266</v>
      </c>
      <c r="B138" s="1" t="s">
        <v>48</v>
      </c>
      <c r="C138" s="1" t="s">
        <v>838</v>
      </c>
      <c r="D138" s="21">
        <f>_xlfn.XLOOKUP(C:C,'[1]Reporte Flexible de Personas - '!$B:$B,'[1]Reporte Flexible de Personas - '!$E:$E)</f>
        <v>47404</v>
      </c>
      <c r="E138" s="21">
        <f>_xlfn.XLOOKUP(C:C,'[1]Reporte Flexible de Personas - '!$B:$B,'[1]Reporte Flexible de Personas - '!$G:$G)</f>
        <v>47166</v>
      </c>
      <c r="F138" s="25">
        <f>_xlfn.XLOOKUP(C:C,'[1]Reporte Flexible de Personas - '!$B:$B,'[1]Reporte Flexible de Personas - '!$I:$I)</f>
        <v>47012</v>
      </c>
      <c r="G138" s="23">
        <f>_xlfn.XLOOKUP(C:C,[2]Planilla!$C:$C,[2]Planilla!$H:$H)</f>
        <v>46673</v>
      </c>
      <c r="H138" s="23">
        <f>_xlfn.XLOOKUP(C:C,[2]Planilla!$C:$C,[2]Planilla!$I:$I)</f>
        <v>46673</v>
      </c>
      <c r="I138" s="23">
        <f>_xlfn.XLOOKUP(C:C,[2]Planilla!$C:$C,[2]Planilla!$J:$J)</f>
        <v>46275</v>
      </c>
      <c r="J138" s="23">
        <f>_xlfn.XLOOKUP(A:A,[3]Matriz!$E:$E,[3]Matriz!$FD:$FD)</f>
        <v>46388</v>
      </c>
      <c r="K138" s="23">
        <f>_xlfn.XLOOKUP(A:A,[3]Matriz!$E:$E,[3]Matriz!$FF:$FF)</f>
        <v>0</v>
      </c>
    </row>
    <row r="139" spans="1:11" x14ac:dyDescent="0.35">
      <c r="A139" s="12" t="s">
        <v>550</v>
      </c>
      <c r="B139" s="1" t="s">
        <v>551</v>
      </c>
      <c r="C139" s="1" t="s">
        <v>839</v>
      </c>
      <c r="D139" s="21" t="e">
        <f>_xlfn.XLOOKUP(C:C,'[1]Reporte Flexible de Personas - '!$B:$B,'[1]Reporte Flexible de Personas - '!$E:$E)</f>
        <v>#N/A</v>
      </c>
      <c r="E139" s="21" t="e">
        <f>_xlfn.XLOOKUP(C:C,'[1]Reporte Flexible de Personas - '!$B:$B,'[1]Reporte Flexible de Personas - '!$G:$G)</f>
        <v>#N/A</v>
      </c>
      <c r="F139" s="25" t="e">
        <f>_xlfn.XLOOKUP(C:C,'[1]Reporte Flexible de Personas - '!$B:$B,'[1]Reporte Flexible de Personas - '!$I:$I)</f>
        <v>#N/A</v>
      </c>
      <c r="G139" s="23" t="e">
        <f>_xlfn.XLOOKUP(C:C,[2]Planilla!$C:$C,[2]Planilla!$H:$H)</f>
        <v>#N/A</v>
      </c>
      <c r="H139" s="23" t="e">
        <f>_xlfn.XLOOKUP(C:C,[2]Planilla!$C:$C,[2]Planilla!$I:$I)</f>
        <v>#N/A</v>
      </c>
      <c r="I139" s="23" t="e">
        <f>_xlfn.XLOOKUP(C:C,[2]Planilla!$C:$C,[2]Planilla!$J:$J)</f>
        <v>#N/A</v>
      </c>
      <c r="J139" s="23">
        <f>_xlfn.XLOOKUP(A:A,[3]Matriz!$E:$E,[3]Matriz!$FD:$FD)</f>
        <v>0</v>
      </c>
      <c r="K139" s="23">
        <f>_xlfn.XLOOKUP(A:A,[3]Matriz!$E:$E,[3]Matriz!$FF:$FF)</f>
        <v>0</v>
      </c>
    </row>
    <row r="140" spans="1:11" x14ac:dyDescent="0.35">
      <c r="A140" s="12" t="s">
        <v>466</v>
      </c>
      <c r="B140" s="1" t="s">
        <v>214</v>
      </c>
      <c r="C140" s="1" t="s">
        <v>840</v>
      </c>
      <c r="D140" s="21">
        <f>_xlfn.XLOOKUP(C:C,'[1]Reporte Flexible de Personas - '!$B:$B,'[1]Reporte Flexible de Personas - '!$E:$E)</f>
        <v>46864</v>
      </c>
      <c r="E140" s="21">
        <f>_xlfn.XLOOKUP(C:C,'[1]Reporte Flexible de Personas - '!$B:$B,'[1]Reporte Flexible de Personas - '!$G:$G)</f>
        <v>46412</v>
      </c>
      <c r="F140" s="25">
        <f>_xlfn.XLOOKUP(C:C,'[1]Reporte Flexible de Personas - '!$B:$B,'[1]Reporte Flexible de Personas - '!$I:$I)</f>
        <v>46434</v>
      </c>
      <c r="G140" s="23" t="e">
        <f>_xlfn.XLOOKUP(C:C,[2]Planilla!$C:$C,[2]Planilla!$H:$H)</f>
        <v>#N/A</v>
      </c>
      <c r="H140" s="23" t="e">
        <f>_xlfn.XLOOKUP(C:C,[2]Planilla!$C:$C,[2]Planilla!$I:$I)</f>
        <v>#N/A</v>
      </c>
      <c r="I140" s="23" t="e">
        <f>_xlfn.XLOOKUP(C:C,[2]Planilla!$C:$C,[2]Planilla!$J:$J)</f>
        <v>#N/A</v>
      </c>
      <c r="J140" s="23">
        <f>_xlfn.XLOOKUP(A:A,[3]Matriz!$E:$E,[3]Matriz!$FD:$FD)</f>
        <v>0</v>
      </c>
      <c r="K140" s="23">
        <f>_xlfn.XLOOKUP(A:A,[3]Matriz!$E:$E,[3]Matriz!$FF:$FF)</f>
        <v>46388</v>
      </c>
    </row>
    <row r="141" spans="1:11" x14ac:dyDescent="0.35">
      <c r="A141" s="12" t="s">
        <v>305</v>
      </c>
      <c r="B141" s="1" t="s">
        <v>215</v>
      </c>
      <c r="C141" s="1" t="s">
        <v>841</v>
      </c>
      <c r="D141" s="21">
        <f>_xlfn.XLOOKUP(C:C,'[1]Reporte Flexible de Personas - '!$B:$B,'[1]Reporte Flexible de Personas - '!$E:$E)</f>
        <v>46325</v>
      </c>
      <c r="E141" s="21">
        <f>_xlfn.XLOOKUP(C:C,'[1]Reporte Flexible de Personas - '!$B:$B,'[1]Reporte Flexible de Personas - '!$G:$G)</f>
        <v>46341</v>
      </c>
      <c r="F141" s="25">
        <f>_xlfn.XLOOKUP(C:C,'[1]Reporte Flexible de Personas - '!$B:$B,'[1]Reporte Flexible de Personas - '!$I:$I)</f>
        <v>46418</v>
      </c>
      <c r="G141" s="23" t="e">
        <f>_xlfn.XLOOKUP(C:C,[2]Planilla!$C:$C,[2]Planilla!$H:$H)</f>
        <v>#N/A</v>
      </c>
      <c r="H141" s="23" t="e">
        <f>_xlfn.XLOOKUP(C:C,[2]Planilla!$C:$C,[2]Planilla!$I:$I)</f>
        <v>#N/A</v>
      </c>
      <c r="I141" s="23" t="e">
        <f>_xlfn.XLOOKUP(C:C,[2]Planilla!$C:$C,[2]Planilla!$J:$J)</f>
        <v>#N/A</v>
      </c>
      <c r="J141" s="23">
        <f>_xlfn.XLOOKUP(A:A,[3]Matriz!$E:$E,[3]Matriz!$FD:$FD)</f>
        <v>0</v>
      </c>
      <c r="K141" s="23">
        <f>_xlfn.XLOOKUP(A:A,[3]Matriz!$E:$E,[3]Matriz!$FF:$FF)</f>
        <v>0</v>
      </c>
    </row>
    <row r="142" spans="1:11" x14ac:dyDescent="0.35">
      <c r="A142" s="12" t="s">
        <v>288</v>
      </c>
      <c r="B142" s="1" t="s">
        <v>49</v>
      </c>
      <c r="C142" s="1" t="s">
        <v>842</v>
      </c>
      <c r="D142" s="21">
        <f>_xlfn.XLOOKUP(C:C,'[1]Reporte Flexible de Personas - '!$B:$B,'[1]Reporte Flexible de Personas - '!$E:$E)</f>
        <v>48348</v>
      </c>
      <c r="E142" s="21">
        <f>_xlfn.XLOOKUP(C:C,'[1]Reporte Flexible de Personas - '!$B:$B,'[1]Reporte Flexible de Personas - '!$G:$G)</f>
        <v>46739</v>
      </c>
      <c r="F142" s="25">
        <f>_xlfn.XLOOKUP(C:C,'[1]Reporte Flexible de Personas - '!$B:$B,'[1]Reporte Flexible de Personas - '!$I:$I)</f>
        <v>47158</v>
      </c>
      <c r="G142" s="23">
        <f>_xlfn.XLOOKUP(C:C,[2]Planilla!$C:$C,[2]Planilla!$H:$H)</f>
        <v>46521</v>
      </c>
      <c r="H142" s="23">
        <f>_xlfn.XLOOKUP(C:C,[2]Planilla!$C:$C,[2]Planilla!$I:$I)</f>
        <v>46521</v>
      </c>
      <c r="I142" s="23">
        <f>_xlfn.XLOOKUP(C:C,[2]Planilla!$C:$C,[2]Planilla!$J:$J)</f>
        <v>47371</v>
      </c>
      <c r="J142" s="23">
        <f>_xlfn.XLOOKUP(A:A,[3]Matriz!$E:$E,[3]Matriz!$FD:$FD)</f>
        <v>0</v>
      </c>
      <c r="K142" s="23">
        <f>_xlfn.XLOOKUP(A:A,[3]Matriz!$E:$E,[3]Matriz!$FF:$FF)</f>
        <v>46388</v>
      </c>
    </row>
    <row r="143" spans="1:11" x14ac:dyDescent="0.35">
      <c r="A143" s="12" t="s">
        <v>285</v>
      </c>
      <c r="B143" s="1" t="s">
        <v>50</v>
      </c>
      <c r="C143" s="1" t="s">
        <v>843</v>
      </c>
      <c r="D143" s="21">
        <f>_xlfn.XLOOKUP(C:C,'[1]Reporte Flexible de Personas - '!$B:$B,'[1]Reporte Flexible de Personas - '!$E:$E)</f>
        <v>47696</v>
      </c>
      <c r="E143" s="21">
        <f>_xlfn.XLOOKUP(C:C,'[1]Reporte Flexible de Personas - '!$B:$B,'[1]Reporte Flexible de Personas - '!$G:$G)</f>
        <v>46781</v>
      </c>
      <c r="F143" s="25">
        <f>_xlfn.XLOOKUP(C:C,'[1]Reporte Flexible de Personas - '!$B:$B,'[1]Reporte Flexible de Personas - '!$I:$I)</f>
        <v>47140</v>
      </c>
      <c r="G143" s="23">
        <f>_xlfn.XLOOKUP(C:C,[2]Planilla!$C:$C,[2]Planilla!$H:$H)</f>
        <v>46966</v>
      </c>
      <c r="H143" s="23">
        <f>_xlfn.XLOOKUP(C:C,[2]Planilla!$C:$C,[2]Planilla!$I:$I)</f>
        <v>46966</v>
      </c>
      <c r="I143" s="23">
        <f>_xlfn.XLOOKUP(C:C,[2]Planilla!$C:$C,[2]Planilla!$J:$J)</f>
        <v>47279</v>
      </c>
      <c r="J143" s="23">
        <f>_xlfn.XLOOKUP(A:A,[3]Matriz!$E:$E,[3]Matriz!$FD:$FD)</f>
        <v>46388</v>
      </c>
      <c r="K143" s="23">
        <f>_xlfn.XLOOKUP(A:A,[3]Matriz!$E:$E,[3]Matriz!$FF:$FF)</f>
        <v>46388</v>
      </c>
    </row>
    <row r="144" spans="1:11" x14ac:dyDescent="0.35">
      <c r="A144" s="12" t="s">
        <v>394</v>
      </c>
      <c r="B144" s="4" t="s">
        <v>172</v>
      </c>
      <c r="C144" s="4" t="s">
        <v>844</v>
      </c>
      <c r="D144" s="21">
        <f>_xlfn.XLOOKUP(C:C,'[1]Reporte Flexible de Personas - '!$B:$B,'[1]Reporte Flexible de Personas - '!$E:$E)</f>
        <v>47434</v>
      </c>
      <c r="E144" s="21">
        <f>_xlfn.XLOOKUP(C:C,'[1]Reporte Flexible de Personas - '!$B:$B,'[1]Reporte Flexible de Personas - '!$G:$G)</f>
        <v>46720</v>
      </c>
      <c r="F144" s="25">
        <f>_xlfn.XLOOKUP(C:C,'[1]Reporte Flexible de Personas - '!$B:$B,'[1]Reporte Flexible de Personas - '!$I:$I)</f>
        <v>47207</v>
      </c>
      <c r="G144" s="23" t="e">
        <f>_xlfn.XLOOKUP(C:C,[2]Planilla!$C:$C,[2]Planilla!$H:$H)</f>
        <v>#N/A</v>
      </c>
      <c r="H144" s="23" t="e">
        <f>_xlfn.XLOOKUP(C:C,[2]Planilla!$C:$C,[2]Planilla!$I:$I)</f>
        <v>#N/A</v>
      </c>
      <c r="I144" s="23" t="e">
        <f>_xlfn.XLOOKUP(C:C,[2]Planilla!$C:$C,[2]Planilla!$J:$J)</f>
        <v>#N/A</v>
      </c>
      <c r="J144" s="23">
        <f>_xlfn.XLOOKUP(A:A,[3]Matriz!$E:$E,[3]Matriz!$FD:$FD)</f>
        <v>0</v>
      </c>
      <c r="K144" s="23">
        <f>_xlfn.XLOOKUP(A:A,[3]Matriz!$E:$E,[3]Matriz!$FF:$FF)</f>
        <v>0</v>
      </c>
    </row>
    <row r="145" spans="1:11" x14ac:dyDescent="0.35">
      <c r="A145" s="12" t="s">
        <v>437</v>
      </c>
      <c r="B145" s="1" t="s">
        <v>216</v>
      </c>
      <c r="C145" s="1" t="s">
        <v>845</v>
      </c>
      <c r="D145" s="21">
        <f>_xlfn.XLOOKUP(C:C,'[1]Reporte Flexible de Personas - '!$B:$B,'[1]Reporte Flexible de Personas - '!$E:$E)</f>
        <v>48663</v>
      </c>
      <c r="E145" s="21">
        <f>_xlfn.XLOOKUP(C:C,'[1]Reporte Flexible de Personas - '!$B:$B,'[1]Reporte Flexible de Personas - '!$G:$G)</f>
        <v>46963</v>
      </c>
      <c r="F145" s="25">
        <f>_xlfn.XLOOKUP(C:C,'[1]Reporte Flexible de Personas - '!$B:$B,'[1]Reporte Flexible de Personas - '!$I:$I)</f>
        <v>47073</v>
      </c>
      <c r="G145" s="23" t="e">
        <f>_xlfn.XLOOKUP(C:C,[2]Planilla!$C:$C,[2]Planilla!$H:$H)</f>
        <v>#N/A</v>
      </c>
      <c r="H145" s="23" t="e">
        <f>_xlfn.XLOOKUP(C:C,[2]Planilla!$C:$C,[2]Planilla!$I:$I)</f>
        <v>#N/A</v>
      </c>
      <c r="I145" s="23" t="e">
        <f>_xlfn.XLOOKUP(C:C,[2]Planilla!$C:$C,[2]Planilla!$J:$J)</f>
        <v>#N/A</v>
      </c>
      <c r="J145" s="23">
        <f>_xlfn.XLOOKUP(A:A,[3]Matriz!$E:$E,[3]Matriz!$FD:$FD)</f>
        <v>0</v>
      </c>
      <c r="K145" s="23">
        <f>_xlfn.XLOOKUP(A:A,[3]Matriz!$E:$E,[3]Matriz!$FF:$FF)</f>
        <v>46388</v>
      </c>
    </row>
    <row r="146" spans="1:11" x14ac:dyDescent="0.35">
      <c r="A146" s="12" t="s">
        <v>562</v>
      </c>
      <c r="B146" s="1" t="s">
        <v>563</v>
      </c>
      <c r="C146" s="1" t="s">
        <v>846</v>
      </c>
      <c r="D146" s="21" t="e">
        <f>_xlfn.XLOOKUP(C:C,'[1]Reporte Flexible de Personas - '!$B:$B,'[1]Reporte Flexible de Personas - '!$E:$E)</f>
        <v>#N/A</v>
      </c>
      <c r="E146" s="21" t="e">
        <f>_xlfn.XLOOKUP(C:C,'[1]Reporte Flexible de Personas - '!$B:$B,'[1]Reporte Flexible de Personas - '!$G:$G)</f>
        <v>#N/A</v>
      </c>
      <c r="F146" s="25" t="e">
        <f>_xlfn.XLOOKUP(C:C,'[1]Reporte Flexible de Personas - '!$B:$B,'[1]Reporte Flexible de Personas - '!$I:$I)</f>
        <v>#N/A</v>
      </c>
      <c r="G146" s="23" t="e">
        <f>_xlfn.XLOOKUP(C:C,[2]Planilla!$C:$C,[2]Planilla!$H:$H)</f>
        <v>#N/A</v>
      </c>
      <c r="H146" s="23" t="e">
        <f>_xlfn.XLOOKUP(C:C,[2]Planilla!$C:$C,[2]Planilla!$I:$I)</f>
        <v>#N/A</v>
      </c>
      <c r="I146" s="23" t="e">
        <f>_xlfn.XLOOKUP(C:C,[2]Planilla!$C:$C,[2]Planilla!$J:$J)</f>
        <v>#N/A</v>
      </c>
      <c r="J146" s="23">
        <f>_xlfn.XLOOKUP(A:A,[3]Matriz!$E:$E,[3]Matriz!$FD:$FD)</f>
        <v>0</v>
      </c>
      <c r="K146" s="23">
        <f>_xlfn.XLOOKUP(A:A,[3]Matriz!$E:$E,[3]Matriz!$FF:$FF)</f>
        <v>0</v>
      </c>
    </row>
    <row r="147" spans="1:11" x14ac:dyDescent="0.35">
      <c r="A147" s="12" t="s">
        <v>535</v>
      </c>
      <c r="B147" s="1" t="s">
        <v>173</v>
      </c>
      <c r="C147" s="1" t="s">
        <v>847</v>
      </c>
      <c r="D147" s="21">
        <f>_xlfn.XLOOKUP(C:C,'[1]Reporte Flexible de Personas - '!$B:$B,'[1]Reporte Flexible de Personas - '!$E:$E)</f>
        <v>47456</v>
      </c>
      <c r="E147" s="21">
        <f>_xlfn.XLOOKUP(C:C,'[1]Reporte Flexible de Personas - '!$B:$B,'[1]Reporte Flexible de Personas - '!$G:$G)</f>
        <v>46720</v>
      </c>
      <c r="F147" s="25">
        <f>_xlfn.XLOOKUP(C:C,'[1]Reporte Flexible de Personas - '!$B:$B,'[1]Reporte Flexible de Personas - '!$I:$I)</f>
        <v>47417</v>
      </c>
      <c r="G147" s="23">
        <f>_xlfn.XLOOKUP(C:C,[2]Planilla!$C:$C,[2]Planilla!$H:$H)</f>
        <v>46360</v>
      </c>
      <c r="H147" s="23">
        <f>_xlfn.XLOOKUP(C:C,[2]Planilla!$C:$C,[2]Planilla!$I:$I)</f>
        <v>46360</v>
      </c>
      <c r="I147" s="23">
        <f>_xlfn.XLOOKUP(C:C,[2]Planilla!$C:$C,[2]Planilla!$J:$J)</f>
        <v>46199</v>
      </c>
      <c r="J147" s="23">
        <f>_xlfn.XLOOKUP(A:A,[3]Matriz!$E:$E,[3]Matriz!$FD:$FD)</f>
        <v>0</v>
      </c>
      <c r="K147" s="23">
        <f>_xlfn.XLOOKUP(A:A,[3]Matriz!$E:$E,[3]Matriz!$FF:$FF)</f>
        <v>46388</v>
      </c>
    </row>
    <row r="148" spans="1:11" x14ac:dyDescent="0.35">
      <c r="A148" s="12" t="s">
        <v>530</v>
      </c>
      <c r="B148" s="1" t="s">
        <v>51</v>
      </c>
      <c r="C148" s="1" t="s">
        <v>848</v>
      </c>
      <c r="D148" s="21">
        <f>_xlfn.XLOOKUP(C:C,'[1]Reporte Flexible de Personas - '!$B:$B,'[1]Reporte Flexible de Personas - '!$E:$E)</f>
        <v>48073</v>
      </c>
      <c r="E148" s="21">
        <f>_xlfn.XLOOKUP(C:C,'[1]Reporte Flexible de Personas - '!$B:$B,'[1]Reporte Flexible de Personas - '!$G:$G)</f>
        <v>46838</v>
      </c>
      <c r="F148" s="25">
        <f>_xlfn.XLOOKUP(C:C,'[1]Reporte Flexible de Personas - '!$B:$B,'[1]Reporte Flexible de Personas - '!$I:$I)</f>
        <v>47256</v>
      </c>
      <c r="G148" s="23">
        <f>_xlfn.XLOOKUP(C:C,[2]Planilla!$C:$C,[2]Planilla!$H:$H)</f>
        <v>46247</v>
      </c>
      <c r="H148" s="23">
        <f>_xlfn.XLOOKUP(C:C,[2]Planilla!$C:$C,[2]Planilla!$I:$I)</f>
        <v>46247</v>
      </c>
      <c r="I148" s="23">
        <f>_xlfn.XLOOKUP(C:C,[2]Planilla!$C:$C,[2]Planilla!$J:$J)</f>
        <v>46192</v>
      </c>
      <c r="J148" s="23">
        <f>_xlfn.XLOOKUP(A:A,[3]Matriz!$E:$E,[3]Matriz!$FD:$FD)</f>
        <v>0</v>
      </c>
      <c r="K148" s="23">
        <f>_xlfn.XLOOKUP(A:A,[3]Matriz!$E:$E,[3]Matriz!$FF:$FF)</f>
        <v>0</v>
      </c>
    </row>
    <row r="149" spans="1:11" x14ac:dyDescent="0.35">
      <c r="A149" s="12" t="s">
        <v>312</v>
      </c>
      <c r="B149" s="1" t="s">
        <v>52</v>
      </c>
      <c r="C149" s="1" t="s">
        <v>849</v>
      </c>
      <c r="D149" s="21">
        <f>_xlfn.XLOOKUP(C:C,'[1]Reporte Flexible de Personas - '!$B:$B,'[1]Reporte Flexible de Personas - '!$E:$E)</f>
        <v>46584</v>
      </c>
      <c r="E149" s="21">
        <f>_xlfn.XLOOKUP(C:C,'[1]Reporte Flexible de Personas - '!$B:$B,'[1]Reporte Flexible de Personas - '!$G:$G)</f>
        <v>46660</v>
      </c>
      <c r="F149" s="25">
        <f>_xlfn.XLOOKUP(C:C,'[1]Reporte Flexible de Personas - '!$B:$B,'[1]Reporte Flexible de Personas - '!$I:$I)</f>
        <v>47049</v>
      </c>
      <c r="G149" s="23">
        <f>_xlfn.XLOOKUP(C:C,[2]Planilla!$C:$C,[2]Planilla!$H:$H)</f>
        <v>46219</v>
      </c>
      <c r="H149" s="23">
        <f>_xlfn.XLOOKUP(C:C,[2]Planilla!$C:$C,[2]Planilla!$I:$I)</f>
        <v>46219</v>
      </c>
      <c r="I149" s="23">
        <f>_xlfn.XLOOKUP(C:C,[2]Planilla!$C:$C,[2]Planilla!$J:$J)</f>
        <v>46196</v>
      </c>
      <c r="J149" s="23">
        <f>_xlfn.XLOOKUP(A:A,[3]Matriz!$E:$E,[3]Matriz!$FD:$FD)</f>
        <v>0</v>
      </c>
      <c r="K149" s="23">
        <f>_xlfn.XLOOKUP(A:A,[3]Matriz!$E:$E,[3]Matriz!$FF:$FF)</f>
        <v>0</v>
      </c>
    </row>
    <row r="150" spans="1:11" x14ac:dyDescent="0.35">
      <c r="A150" s="12" t="s">
        <v>580</v>
      </c>
      <c r="B150" s="1" t="s">
        <v>581</v>
      </c>
      <c r="C150" s="1" t="s">
        <v>850</v>
      </c>
      <c r="D150" s="21" t="e">
        <f>_xlfn.XLOOKUP(C:C,'[1]Reporte Flexible de Personas - '!$B:$B,'[1]Reporte Flexible de Personas - '!$E:$E)</f>
        <v>#N/A</v>
      </c>
      <c r="E150" s="21" t="e">
        <f>_xlfn.XLOOKUP(C:C,'[1]Reporte Flexible de Personas - '!$B:$B,'[1]Reporte Flexible de Personas - '!$G:$G)</f>
        <v>#N/A</v>
      </c>
      <c r="F150" s="25" t="e">
        <f>_xlfn.XLOOKUP(C:C,'[1]Reporte Flexible de Personas - '!$B:$B,'[1]Reporte Flexible de Personas - '!$I:$I)</f>
        <v>#N/A</v>
      </c>
      <c r="G150" s="23" t="e">
        <f>_xlfn.XLOOKUP(C:C,[2]Planilla!$C:$C,[2]Planilla!$H:$H)</f>
        <v>#N/A</v>
      </c>
      <c r="H150" s="23" t="e">
        <f>_xlfn.XLOOKUP(C:C,[2]Planilla!$C:$C,[2]Planilla!$I:$I)</f>
        <v>#N/A</v>
      </c>
      <c r="I150" s="23" t="e">
        <f>_xlfn.XLOOKUP(C:C,[2]Planilla!$C:$C,[2]Planilla!$J:$J)</f>
        <v>#N/A</v>
      </c>
      <c r="J150" s="23">
        <f>_xlfn.XLOOKUP(A:A,[3]Matriz!$E:$E,[3]Matriz!$FD:$FD)</f>
        <v>0</v>
      </c>
      <c r="K150" s="23">
        <f>_xlfn.XLOOKUP(A:A,[3]Matriz!$E:$E,[3]Matriz!$FF:$FF)</f>
        <v>0</v>
      </c>
    </row>
    <row r="151" spans="1:11" x14ac:dyDescent="0.35">
      <c r="A151" s="14" t="s">
        <v>477</v>
      </c>
      <c r="B151" s="1" t="s">
        <v>217</v>
      </c>
      <c r="C151" s="1" t="s">
        <v>851</v>
      </c>
      <c r="D151" s="21">
        <f>_xlfn.XLOOKUP(C:C,'[1]Reporte Flexible de Personas - '!$B:$B,'[1]Reporte Flexible de Personas - '!$E:$E)</f>
        <v>49603</v>
      </c>
      <c r="E151" s="21">
        <f>_xlfn.XLOOKUP(C:C,'[1]Reporte Flexible de Personas - '!$B:$B,'[1]Reporte Flexible de Personas - '!$G:$G)</f>
        <v>46903</v>
      </c>
      <c r="F151" s="25">
        <f>_xlfn.XLOOKUP(C:C,'[1]Reporte Flexible de Personas - '!$B:$B,'[1]Reporte Flexible de Personas - '!$I:$I)</f>
        <v>47077</v>
      </c>
      <c r="G151" s="23" t="e">
        <f>_xlfn.XLOOKUP(C:C,[2]Planilla!$C:$C,[2]Planilla!$H:$H)</f>
        <v>#N/A</v>
      </c>
      <c r="H151" s="23" t="e">
        <f>_xlfn.XLOOKUP(C:C,[2]Planilla!$C:$C,[2]Planilla!$I:$I)</f>
        <v>#N/A</v>
      </c>
      <c r="I151" s="23" t="e">
        <f>_xlfn.XLOOKUP(C:C,[2]Planilla!$C:$C,[2]Planilla!$J:$J)</f>
        <v>#N/A</v>
      </c>
      <c r="J151" s="23">
        <f>_xlfn.XLOOKUP(A:A,[3]Matriz!$E:$E,[3]Matriz!$FD:$FD)</f>
        <v>0</v>
      </c>
      <c r="K151" s="23">
        <f>_xlfn.XLOOKUP(A:A,[3]Matriz!$E:$E,[3]Matriz!$FF:$FF)</f>
        <v>0</v>
      </c>
    </row>
    <row r="152" spans="1:11" x14ac:dyDescent="0.35">
      <c r="A152" s="12" t="s">
        <v>357</v>
      </c>
      <c r="B152" s="1" t="s">
        <v>104</v>
      </c>
      <c r="C152" s="1" t="s">
        <v>852</v>
      </c>
      <c r="D152" s="21">
        <f>_xlfn.XLOOKUP(C:C,'[1]Reporte Flexible de Personas - '!$B:$B,'[1]Reporte Flexible de Personas - '!$E:$E)</f>
        <v>47535</v>
      </c>
      <c r="E152" s="21">
        <f>_xlfn.XLOOKUP(C:C,'[1]Reporte Flexible de Personas - '!$B:$B,'[1]Reporte Flexible de Personas - '!$G:$G)</f>
        <v>46842</v>
      </c>
      <c r="F152" s="25">
        <f>_xlfn.XLOOKUP(C:C,'[1]Reporte Flexible de Personas - '!$B:$B,'[1]Reporte Flexible de Personas - '!$I:$I)</f>
        <v>46507</v>
      </c>
      <c r="G152" s="23" t="e">
        <f>_xlfn.XLOOKUP(C:C,[2]Planilla!$C:$C,[2]Planilla!$H:$H)</f>
        <v>#N/A</v>
      </c>
      <c r="H152" s="23" t="e">
        <f>_xlfn.XLOOKUP(C:C,[2]Planilla!$C:$C,[2]Planilla!$I:$I)</f>
        <v>#N/A</v>
      </c>
      <c r="I152" s="23" t="e">
        <f>_xlfn.XLOOKUP(C:C,[2]Planilla!$C:$C,[2]Planilla!$J:$J)</f>
        <v>#N/A</v>
      </c>
      <c r="J152" s="23">
        <f>_xlfn.XLOOKUP(A:A,[3]Matriz!$E:$E,[3]Matriz!$FD:$FD)</f>
        <v>0</v>
      </c>
      <c r="K152" s="23">
        <f>_xlfn.XLOOKUP(A:A,[3]Matriz!$E:$E,[3]Matriz!$FF:$FF)</f>
        <v>0</v>
      </c>
    </row>
    <row r="153" spans="1:11" x14ac:dyDescent="0.35">
      <c r="A153" s="12" t="s">
        <v>282</v>
      </c>
      <c r="B153" s="1" t="s">
        <v>283</v>
      </c>
      <c r="C153" s="1" t="s">
        <v>853</v>
      </c>
      <c r="D153" s="21">
        <f>_xlfn.XLOOKUP(C:C,'[1]Reporte Flexible de Personas - '!$B:$B,'[1]Reporte Flexible de Personas - '!$E:$E)</f>
        <v>47517</v>
      </c>
      <c r="E153" s="21">
        <f>_xlfn.XLOOKUP(C:C,'[1]Reporte Flexible de Personas - '!$B:$B,'[1]Reporte Flexible de Personas - '!$G:$G)</f>
        <v>47201</v>
      </c>
      <c r="F153" s="25">
        <f>_xlfn.XLOOKUP(C:C,'[1]Reporte Flexible de Personas - '!$B:$B,'[1]Reporte Flexible de Personas - '!$I:$I)</f>
        <v>46391</v>
      </c>
      <c r="G153" s="23" t="e">
        <f>_xlfn.XLOOKUP(C:C,[2]Planilla!$C:$C,[2]Planilla!$H:$H)</f>
        <v>#N/A</v>
      </c>
      <c r="H153" s="23" t="e">
        <f>_xlfn.XLOOKUP(C:C,[2]Planilla!$C:$C,[2]Planilla!$I:$I)</f>
        <v>#N/A</v>
      </c>
      <c r="I153" s="23" t="e">
        <f>_xlfn.XLOOKUP(C:C,[2]Planilla!$C:$C,[2]Planilla!$J:$J)</f>
        <v>#N/A</v>
      </c>
      <c r="J153" s="23">
        <f>_xlfn.XLOOKUP(A:A,[3]Matriz!$E:$E,[3]Matriz!$FD:$FD)</f>
        <v>0</v>
      </c>
      <c r="K153" s="23">
        <f>_xlfn.XLOOKUP(A:A,[3]Matriz!$E:$E,[3]Matriz!$FF:$FF)</f>
        <v>0</v>
      </c>
    </row>
    <row r="154" spans="1:11" x14ac:dyDescent="0.35">
      <c r="A154" s="12" t="s">
        <v>603</v>
      </c>
      <c r="B154" s="1" t="s">
        <v>604</v>
      </c>
      <c r="C154" s="1" t="s">
        <v>854</v>
      </c>
      <c r="D154" s="21">
        <f>_xlfn.XLOOKUP(C:C,'[1]Reporte Flexible de Personas - '!$B:$B,'[1]Reporte Flexible de Personas - '!$E:$E)</f>
        <v>49796</v>
      </c>
      <c r="E154" s="21">
        <f>_xlfn.XLOOKUP(C:C,'[1]Reporte Flexible de Personas - '!$B:$B,'[1]Reporte Flexible de Personas - '!$G:$G)</f>
        <v>46403</v>
      </c>
      <c r="F154" s="25">
        <f>_xlfn.XLOOKUP(C:C,'[1]Reporte Flexible de Personas - '!$B:$B,'[1]Reporte Flexible de Personas - '!$I:$I)</f>
        <v>47519</v>
      </c>
      <c r="G154" s="23" t="e">
        <f>_xlfn.XLOOKUP(C:C,[2]Planilla!$C:$C,[2]Planilla!$H:$H)</f>
        <v>#N/A</v>
      </c>
      <c r="H154" s="23" t="e">
        <f>_xlfn.XLOOKUP(C:C,[2]Planilla!$C:$C,[2]Planilla!$I:$I)</f>
        <v>#N/A</v>
      </c>
      <c r="I154" s="23" t="e">
        <f>_xlfn.XLOOKUP(C:C,[2]Planilla!$C:$C,[2]Planilla!$J:$J)</f>
        <v>#N/A</v>
      </c>
      <c r="J154" s="23">
        <f>_xlfn.XLOOKUP(A:A,[3]Matriz!$E:$E,[3]Matriz!$FD:$FD)</f>
        <v>0</v>
      </c>
      <c r="K154" s="23">
        <f>_xlfn.XLOOKUP(A:A,[3]Matriz!$E:$E,[3]Matriz!$FF:$FF)</f>
        <v>0</v>
      </c>
    </row>
    <row r="155" spans="1:11" x14ac:dyDescent="0.35">
      <c r="A155" s="12" t="s">
        <v>589</v>
      </c>
      <c r="B155" s="1" t="s">
        <v>585</v>
      </c>
      <c r="C155" s="1" t="s">
        <v>855</v>
      </c>
      <c r="D155" s="21" t="e">
        <f>_xlfn.XLOOKUP(C:C,'[1]Reporte Flexible de Personas - '!$B:$B,'[1]Reporte Flexible de Personas - '!$E:$E)</f>
        <v>#N/A</v>
      </c>
      <c r="E155" s="21" t="e">
        <f>_xlfn.XLOOKUP(C:C,'[1]Reporte Flexible de Personas - '!$B:$B,'[1]Reporte Flexible de Personas - '!$G:$G)</f>
        <v>#N/A</v>
      </c>
      <c r="F155" s="25" t="e">
        <f>_xlfn.XLOOKUP(C:C,'[1]Reporte Flexible de Personas - '!$B:$B,'[1]Reporte Flexible de Personas - '!$I:$I)</f>
        <v>#N/A</v>
      </c>
      <c r="G155" s="23" t="e">
        <f>_xlfn.XLOOKUP(C:C,[2]Planilla!$C:$C,[2]Planilla!$H:$H)</f>
        <v>#N/A</v>
      </c>
      <c r="H155" s="23" t="e">
        <f>_xlfn.XLOOKUP(C:C,[2]Planilla!$C:$C,[2]Planilla!$I:$I)</f>
        <v>#N/A</v>
      </c>
      <c r="I155" s="23" t="e">
        <f>_xlfn.XLOOKUP(C:C,[2]Planilla!$C:$C,[2]Planilla!$J:$J)</f>
        <v>#N/A</v>
      </c>
      <c r="J155" s="23">
        <f>_xlfn.XLOOKUP(A:A,[3]Matriz!$E:$E,[3]Matriz!$FD:$FD)</f>
        <v>0</v>
      </c>
      <c r="K155" s="23">
        <f>_xlfn.XLOOKUP(A:A,[3]Matriz!$E:$E,[3]Matriz!$FF:$FF)</f>
        <v>0</v>
      </c>
    </row>
    <row r="156" spans="1:11" x14ac:dyDescent="0.35">
      <c r="A156" s="12" t="s">
        <v>289</v>
      </c>
      <c r="B156" s="1" t="s">
        <v>105</v>
      </c>
      <c r="C156" s="1" t="s">
        <v>856</v>
      </c>
      <c r="D156" s="21">
        <f>_xlfn.XLOOKUP(C:C,'[1]Reporte Flexible de Personas - '!$B:$B,'[1]Reporte Flexible de Personas - '!$E:$E)</f>
        <v>49214</v>
      </c>
      <c r="E156" s="21">
        <f>_xlfn.XLOOKUP(C:C,'[1]Reporte Flexible de Personas - '!$B:$B,'[1]Reporte Flexible de Personas - '!$G:$G)</f>
        <v>46655</v>
      </c>
      <c r="F156" s="25">
        <f>_xlfn.XLOOKUP(C:C,'[1]Reporte Flexible de Personas - '!$B:$B,'[1]Reporte Flexible de Personas - '!$I:$I)</f>
        <v>47064</v>
      </c>
      <c r="G156" s="23" t="e">
        <f>_xlfn.XLOOKUP(C:C,[2]Planilla!$C:$C,[2]Planilla!$H:$H)</f>
        <v>#N/A</v>
      </c>
      <c r="H156" s="23" t="e">
        <f>_xlfn.XLOOKUP(C:C,[2]Planilla!$C:$C,[2]Planilla!$I:$I)</f>
        <v>#N/A</v>
      </c>
      <c r="I156" s="23" t="e">
        <f>_xlfn.XLOOKUP(C:C,[2]Planilla!$C:$C,[2]Planilla!$J:$J)</f>
        <v>#N/A</v>
      </c>
      <c r="J156" s="23">
        <f>_xlfn.XLOOKUP(A:A,[3]Matriz!$E:$E,[3]Matriz!$FD:$FD)</f>
        <v>0</v>
      </c>
      <c r="K156" s="23">
        <f>_xlfn.XLOOKUP(A:A,[3]Matriz!$E:$E,[3]Matriz!$FF:$FF)</f>
        <v>0</v>
      </c>
    </row>
    <row r="157" spans="1:11" x14ac:dyDescent="0.35">
      <c r="A157" s="12" t="s">
        <v>512</v>
      </c>
      <c r="B157" s="1" t="s">
        <v>513</v>
      </c>
      <c r="C157" s="1" t="s">
        <v>857</v>
      </c>
      <c r="D157" s="21" t="e">
        <f>_xlfn.XLOOKUP(C:C,'[1]Reporte Flexible de Personas - '!$B:$B,'[1]Reporte Flexible de Personas - '!$E:$E)</f>
        <v>#N/A</v>
      </c>
      <c r="E157" s="21" t="e">
        <f>_xlfn.XLOOKUP(C:C,'[1]Reporte Flexible de Personas - '!$B:$B,'[1]Reporte Flexible de Personas - '!$G:$G)</f>
        <v>#N/A</v>
      </c>
      <c r="F157" s="25" t="e">
        <f>_xlfn.XLOOKUP(C:C,'[1]Reporte Flexible de Personas - '!$B:$B,'[1]Reporte Flexible de Personas - '!$I:$I)</f>
        <v>#N/A</v>
      </c>
      <c r="G157" s="23" t="e">
        <f>_xlfn.XLOOKUP(C:C,[2]Planilla!$C:$C,[2]Planilla!$H:$H)</f>
        <v>#N/A</v>
      </c>
      <c r="H157" s="23" t="e">
        <f>_xlfn.XLOOKUP(C:C,[2]Planilla!$C:$C,[2]Planilla!$I:$I)</f>
        <v>#N/A</v>
      </c>
      <c r="I157" s="23" t="e">
        <f>_xlfn.XLOOKUP(C:C,[2]Planilla!$C:$C,[2]Planilla!$J:$J)</f>
        <v>#N/A</v>
      </c>
      <c r="J157" s="23">
        <f>_xlfn.XLOOKUP(A:A,[3]Matriz!$E:$E,[3]Matriz!$FD:$FD)</f>
        <v>0</v>
      </c>
      <c r="K157" s="23">
        <f>_xlfn.XLOOKUP(A:A,[3]Matriz!$E:$E,[3]Matriz!$FF:$FF)</f>
        <v>0</v>
      </c>
    </row>
    <row r="158" spans="1:11" x14ac:dyDescent="0.35">
      <c r="A158" s="12" t="s">
        <v>421</v>
      </c>
      <c r="B158" s="1" t="s">
        <v>174</v>
      </c>
      <c r="C158" s="1" t="s">
        <v>858</v>
      </c>
      <c r="D158" s="21">
        <f>_xlfn.XLOOKUP(C:C,'[1]Reporte Flexible de Personas - '!$B:$B,'[1]Reporte Flexible de Personas - '!$E:$E)</f>
        <v>46761</v>
      </c>
      <c r="E158" s="21">
        <f>_xlfn.XLOOKUP(C:C,'[1]Reporte Flexible de Personas - '!$B:$B,'[1]Reporte Flexible de Personas - '!$G:$G)</f>
        <v>46240</v>
      </c>
      <c r="F158" s="25">
        <f>_xlfn.XLOOKUP(C:C,'[1]Reporte Flexible de Personas - '!$B:$B,'[1]Reporte Flexible de Personas - '!$I:$I)</f>
        <v>47054</v>
      </c>
      <c r="G158" s="23">
        <f>_xlfn.XLOOKUP(C:C,[2]Planilla!$C:$C,[2]Planilla!$H:$H)</f>
        <v>47410</v>
      </c>
      <c r="H158" s="23">
        <f>_xlfn.XLOOKUP(C:C,[2]Planilla!$C:$C,[2]Planilla!$I:$I)</f>
        <v>47410</v>
      </c>
      <c r="I158" s="23">
        <f>_xlfn.XLOOKUP(C:C,[2]Planilla!$C:$C,[2]Planilla!$J:$J)</f>
        <v>46297</v>
      </c>
      <c r="J158" s="23">
        <f>_xlfn.XLOOKUP(A:A,[3]Matriz!$E:$E,[3]Matriz!$FD:$FD)</f>
        <v>0</v>
      </c>
      <c r="K158" s="23">
        <f>_xlfn.XLOOKUP(A:A,[3]Matriz!$E:$E,[3]Matriz!$FF:$FF)</f>
        <v>0</v>
      </c>
    </row>
    <row r="159" spans="1:11" x14ac:dyDescent="0.35">
      <c r="A159" s="12" t="s">
        <v>314</v>
      </c>
      <c r="B159" s="1" t="s">
        <v>53</v>
      </c>
      <c r="C159" s="1" t="s">
        <v>859</v>
      </c>
      <c r="D159" s="21">
        <f>_xlfn.XLOOKUP(C:C,'[1]Reporte Flexible de Personas - '!$B:$B,'[1]Reporte Flexible de Personas - '!$E:$E)</f>
        <v>46348</v>
      </c>
      <c r="E159" s="21">
        <f>_xlfn.XLOOKUP(C:C,'[1]Reporte Flexible de Personas - '!$B:$B,'[1]Reporte Flexible de Personas - '!$G:$G)</f>
        <v>46292</v>
      </c>
      <c r="F159" s="25">
        <f>_xlfn.XLOOKUP(C:C,'[1]Reporte Flexible de Personas - '!$B:$B,'[1]Reporte Flexible de Personas - '!$I:$I)</f>
        <v>47055</v>
      </c>
      <c r="G159" s="23">
        <f>_xlfn.XLOOKUP(C:C,[2]Planilla!$C:$C,[2]Planilla!$H:$H)</f>
        <v>46713</v>
      </c>
      <c r="H159" s="23">
        <f>_xlfn.XLOOKUP(C:C,[2]Planilla!$C:$C,[2]Planilla!$I:$I)</f>
        <v>46713</v>
      </c>
      <c r="I159" s="23">
        <f>_xlfn.XLOOKUP(C:C,[2]Planilla!$C:$C,[2]Planilla!$J:$J)</f>
        <v>46359</v>
      </c>
      <c r="J159" s="23">
        <f>_xlfn.XLOOKUP(A:A,[3]Matriz!$E:$E,[3]Matriz!$FD:$FD)</f>
        <v>0</v>
      </c>
      <c r="K159" s="23">
        <f>_xlfn.XLOOKUP(A:A,[3]Matriz!$E:$E,[3]Matriz!$FF:$FF)</f>
        <v>0</v>
      </c>
    </row>
    <row r="160" spans="1:11" x14ac:dyDescent="0.35">
      <c r="A160" s="12" t="s">
        <v>523</v>
      </c>
      <c r="B160" s="1" t="s">
        <v>54</v>
      </c>
      <c r="C160" s="1" t="s">
        <v>860</v>
      </c>
      <c r="D160" s="21">
        <f>_xlfn.XLOOKUP(C:C,'[1]Reporte Flexible de Personas - '!$B:$B,'[1]Reporte Flexible de Personas - '!$E:$E)</f>
        <v>48781</v>
      </c>
      <c r="E160" s="21">
        <f>_xlfn.XLOOKUP(C:C,'[1]Reporte Flexible de Personas - '!$B:$B,'[1]Reporte Flexible de Personas - '!$G:$G)</f>
        <v>46843</v>
      </c>
      <c r="F160" s="25">
        <f>_xlfn.XLOOKUP(C:C,'[1]Reporte Flexible de Personas - '!$B:$B,'[1]Reporte Flexible de Personas - '!$I:$I)</f>
        <v>47267</v>
      </c>
      <c r="G160" s="23">
        <f>_xlfn.XLOOKUP(C:C,[2]Planilla!$C:$C,[2]Planilla!$H:$H)</f>
        <v>47320</v>
      </c>
      <c r="H160" s="23">
        <f>_xlfn.XLOOKUP(C:C,[2]Planilla!$C:$C,[2]Planilla!$I:$I)</f>
        <v>47320</v>
      </c>
      <c r="I160" s="23">
        <f>_xlfn.XLOOKUP(C:C,[2]Planilla!$C:$C,[2]Planilla!$J:$J)</f>
        <v>46205</v>
      </c>
      <c r="J160" s="23">
        <f>_xlfn.XLOOKUP(A:A,[3]Matriz!$E:$E,[3]Matriz!$FD:$FD)</f>
        <v>0</v>
      </c>
      <c r="K160" s="23">
        <f>_xlfn.XLOOKUP(A:A,[3]Matriz!$E:$E,[3]Matriz!$FF:$FF)</f>
        <v>0</v>
      </c>
    </row>
    <row r="161" spans="1:11" x14ac:dyDescent="0.35">
      <c r="A161" s="12" t="s">
        <v>336</v>
      </c>
      <c r="B161" s="1" t="s">
        <v>175</v>
      </c>
      <c r="C161" s="1" t="s">
        <v>861</v>
      </c>
      <c r="D161" s="21">
        <f>_xlfn.XLOOKUP(C:C,'[1]Reporte Flexible de Personas - '!$B:$B,'[1]Reporte Flexible de Personas - '!$E:$E)</f>
        <v>46359</v>
      </c>
      <c r="E161" s="21">
        <f>_xlfn.XLOOKUP(C:C,'[1]Reporte Flexible de Personas - '!$B:$B,'[1]Reporte Flexible de Personas - '!$G:$G)</f>
        <v>46590</v>
      </c>
      <c r="F161" s="25">
        <f>_xlfn.XLOOKUP(C:C,'[1]Reporte Flexible de Personas - '!$B:$B,'[1]Reporte Flexible de Personas - '!$I:$I)</f>
        <v>47071</v>
      </c>
      <c r="G161" s="23">
        <f>_xlfn.XLOOKUP(C:C,[2]Planilla!$C:$C,[2]Planilla!$H:$H)</f>
        <v>46295</v>
      </c>
      <c r="H161" s="23">
        <f>_xlfn.XLOOKUP(C:C,[2]Planilla!$C:$C,[2]Planilla!$I:$I)</f>
        <v>46295</v>
      </c>
      <c r="I161" s="23">
        <f>_xlfn.XLOOKUP(C:C,[2]Planilla!$C:$C,[2]Planilla!$J:$J)</f>
        <v>46295</v>
      </c>
      <c r="J161" s="23">
        <f>_xlfn.XLOOKUP(A:A,[3]Matriz!$E:$E,[3]Matriz!$FD:$FD)</f>
        <v>0</v>
      </c>
      <c r="K161" s="23">
        <f>_xlfn.XLOOKUP(A:A,[3]Matriz!$E:$E,[3]Matriz!$FF:$FF)</f>
        <v>0</v>
      </c>
    </row>
    <row r="162" spans="1:11" x14ac:dyDescent="0.35">
      <c r="A162" s="12" t="s">
        <v>251</v>
      </c>
      <c r="B162" s="1" t="s">
        <v>3</v>
      </c>
      <c r="C162" s="1" t="s">
        <v>862</v>
      </c>
      <c r="D162" s="21">
        <f>_xlfn.XLOOKUP(C:C,'[1]Reporte Flexible de Personas - '!$B:$B,'[1]Reporte Flexible de Personas - '!$E:$E)</f>
        <v>46461</v>
      </c>
      <c r="E162" s="21">
        <f>_xlfn.XLOOKUP(C:C,'[1]Reporte Flexible de Personas - '!$B:$B,'[1]Reporte Flexible de Personas - '!$G:$G)</f>
        <v>46240</v>
      </c>
      <c r="F162" s="25">
        <f>_xlfn.XLOOKUP(C:C,'[1]Reporte Flexible de Personas - '!$B:$B,'[1]Reporte Flexible de Personas - '!$I:$I)</f>
        <v>47299</v>
      </c>
      <c r="G162" s="23" t="e">
        <f>_xlfn.XLOOKUP(C:C,[2]Planilla!$C:$C,[2]Planilla!$H:$H)</f>
        <v>#N/A</v>
      </c>
      <c r="H162" s="23" t="e">
        <f>_xlfn.XLOOKUP(C:C,[2]Planilla!$C:$C,[2]Planilla!$I:$I)</f>
        <v>#N/A</v>
      </c>
      <c r="I162" s="23" t="e">
        <f>_xlfn.XLOOKUP(C:C,[2]Planilla!$C:$C,[2]Planilla!$J:$J)</f>
        <v>#N/A</v>
      </c>
      <c r="J162" s="23">
        <f>_xlfn.XLOOKUP(A:A,[3]Matriz!$E:$E,[3]Matriz!$FD:$FD)</f>
        <v>0</v>
      </c>
      <c r="K162" s="23">
        <f>_xlfn.XLOOKUP(A:A,[3]Matriz!$E:$E,[3]Matriz!$FF:$FF)</f>
        <v>0</v>
      </c>
    </row>
    <row r="163" spans="1:11" x14ac:dyDescent="0.35">
      <c r="A163" s="12" t="s">
        <v>298</v>
      </c>
      <c r="B163" s="1" t="s">
        <v>176</v>
      </c>
      <c r="C163" s="1" t="s">
        <v>863</v>
      </c>
      <c r="D163" s="21">
        <f>_xlfn.XLOOKUP(C:C,'[1]Reporte Flexible de Personas - '!$B:$B,'[1]Reporte Flexible de Personas - '!$E:$E)</f>
        <v>49470</v>
      </c>
      <c r="E163" s="21">
        <f>_xlfn.XLOOKUP(C:C,'[1]Reporte Flexible de Personas - '!$B:$B,'[1]Reporte Flexible de Personas - '!$G:$G)</f>
        <v>46552</v>
      </c>
      <c r="F163" s="25">
        <f>_xlfn.XLOOKUP(C:C,'[1]Reporte Flexible de Personas - '!$B:$B,'[1]Reporte Flexible de Personas - '!$I:$I)</f>
        <v>47376</v>
      </c>
      <c r="G163" s="23" t="e">
        <f>_xlfn.XLOOKUP(C:C,[2]Planilla!$C:$C,[2]Planilla!$H:$H)</f>
        <v>#N/A</v>
      </c>
      <c r="H163" s="23" t="e">
        <f>_xlfn.XLOOKUP(C:C,[2]Planilla!$C:$C,[2]Planilla!$I:$I)</f>
        <v>#N/A</v>
      </c>
      <c r="I163" s="23" t="e">
        <f>_xlfn.XLOOKUP(C:C,[2]Planilla!$C:$C,[2]Planilla!$J:$J)</f>
        <v>#N/A</v>
      </c>
      <c r="J163" s="23">
        <f>_xlfn.XLOOKUP(A:A,[3]Matriz!$E:$E,[3]Matriz!$FD:$FD)</f>
        <v>46388</v>
      </c>
      <c r="K163" s="23">
        <f>_xlfn.XLOOKUP(A:A,[3]Matriz!$E:$E,[3]Matriz!$FF:$FF)</f>
        <v>0</v>
      </c>
    </row>
    <row r="164" spans="1:11" x14ac:dyDescent="0.35">
      <c r="A164" s="12" t="s">
        <v>340</v>
      </c>
      <c r="B164" s="1" t="s">
        <v>218</v>
      </c>
      <c r="C164" s="1" t="s">
        <v>864</v>
      </c>
      <c r="D164" s="21">
        <f>_xlfn.XLOOKUP(C:C,'[1]Reporte Flexible de Personas - '!$B:$B,'[1]Reporte Flexible de Personas - '!$E:$E)</f>
        <v>48025</v>
      </c>
      <c r="E164" s="21">
        <f>_xlfn.XLOOKUP(C:C,'[1]Reporte Flexible de Personas - '!$B:$B,'[1]Reporte Flexible de Personas - '!$G:$G)</f>
        <v>46457</v>
      </c>
      <c r="F164" s="25">
        <f>_xlfn.XLOOKUP(C:C,'[1]Reporte Flexible de Personas - '!$B:$B,'[1]Reporte Flexible de Personas - '!$I:$I)</f>
        <v>46497</v>
      </c>
      <c r="G164" s="23" t="e">
        <f>_xlfn.XLOOKUP(C:C,[2]Planilla!$C:$C,[2]Planilla!$H:$H)</f>
        <v>#N/A</v>
      </c>
      <c r="H164" s="23" t="e">
        <f>_xlfn.XLOOKUP(C:C,[2]Planilla!$C:$C,[2]Planilla!$I:$I)</f>
        <v>#N/A</v>
      </c>
      <c r="I164" s="23" t="e">
        <f>_xlfn.XLOOKUP(C:C,[2]Planilla!$C:$C,[2]Planilla!$J:$J)</f>
        <v>#N/A</v>
      </c>
      <c r="J164" s="23">
        <f>_xlfn.XLOOKUP(A:A,[3]Matriz!$E:$E,[3]Matriz!$FD:$FD)</f>
        <v>0</v>
      </c>
      <c r="K164" s="23">
        <f>_xlfn.XLOOKUP(A:A,[3]Matriz!$E:$E,[3]Matriz!$FF:$FF)</f>
        <v>0</v>
      </c>
    </row>
    <row r="165" spans="1:11" x14ac:dyDescent="0.35">
      <c r="A165" s="12" t="s">
        <v>269</v>
      </c>
      <c r="B165" s="1" t="s">
        <v>106</v>
      </c>
      <c r="C165" s="1" t="s">
        <v>865</v>
      </c>
      <c r="D165" s="21">
        <f>_xlfn.XLOOKUP(C:C,'[1]Reporte Flexible de Personas - '!$B:$B,'[1]Reporte Flexible de Personas - '!$E:$E)</f>
        <v>46886</v>
      </c>
      <c r="E165" s="21">
        <f>_xlfn.XLOOKUP(C:C,'[1]Reporte Flexible de Personas - '!$B:$B,'[1]Reporte Flexible de Personas - '!$G:$G)</f>
        <v>46280</v>
      </c>
      <c r="F165" s="25">
        <f>_xlfn.XLOOKUP(C:C,'[1]Reporte Flexible de Personas - '!$B:$B,'[1]Reporte Flexible de Personas - '!$I:$I)</f>
        <v>47152</v>
      </c>
      <c r="G165" s="23">
        <f>_xlfn.XLOOKUP(C:C,[2]Planilla!$C:$C,[2]Planilla!$H:$H)</f>
        <v>47251</v>
      </c>
      <c r="H165" s="23">
        <f>_xlfn.XLOOKUP(C:C,[2]Planilla!$C:$C,[2]Planilla!$I:$I)</f>
        <v>47251</v>
      </c>
      <c r="I165" s="23">
        <f>_xlfn.XLOOKUP(C:C,[2]Planilla!$C:$C,[2]Planilla!$J:$J)</f>
        <v>47405</v>
      </c>
      <c r="J165" s="23">
        <f>_xlfn.XLOOKUP(A:A,[3]Matriz!$E:$E,[3]Matriz!$FD:$FD)</f>
        <v>46388</v>
      </c>
      <c r="K165" s="23">
        <f>_xlfn.XLOOKUP(A:A,[3]Matriz!$E:$E,[3]Matriz!$FF:$FF)</f>
        <v>0</v>
      </c>
    </row>
    <row r="166" spans="1:11" x14ac:dyDescent="0.35">
      <c r="A166" s="12" t="s">
        <v>558</v>
      </c>
      <c r="B166" s="1" t="s">
        <v>559</v>
      </c>
      <c r="C166" s="1" t="s">
        <v>866</v>
      </c>
      <c r="D166" s="21" t="e">
        <f>_xlfn.XLOOKUP(C:C,'[1]Reporte Flexible de Personas - '!$B:$B,'[1]Reporte Flexible de Personas - '!$E:$E)</f>
        <v>#N/A</v>
      </c>
      <c r="E166" s="21" t="e">
        <f>_xlfn.XLOOKUP(C:C,'[1]Reporte Flexible de Personas - '!$B:$B,'[1]Reporte Flexible de Personas - '!$G:$G)</f>
        <v>#N/A</v>
      </c>
      <c r="F166" s="25" t="e">
        <f>_xlfn.XLOOKUP(C:C,'[1]Reporte Flexible de Personas - '!$B:$B,'[1]Reporte Flexible de Personas - '!$I:$I)</f>
        <v>#N/A</v>
      </c>
      <c r="G166" s="23" t="e">
        <f>_xlfn.XLOOKUP(C:C,[2]Planilla!$C:$C,[2]Planilla!$H:$H)</f>
        <v>#N/A</v>
      </c>
      <c r="H166" s="23" t="e">
        <f>_xlfn.XLOOKUP(C:C,[2]Planilla!$C:$C,[2]Planilla!$I:$I)</f>
        <v>#N/A</v>
      </c>
      <c r="I166" s="23" t="e">
        <f>_xlfn.XLOOKUP(C:C,[2]Planilla!$C:$C,[2]Planilla!$J:$J)</f>
        <v>#N/A</v>
      </c>
      <c r="J166" s="23">
        <f>_xlfn.XLOOKUP(A:A,[3]Matriz!$E:$E,[3]Matriz!$FD:$FD)</f>
        <v>0</v>
      </c>
      <c r="K166" s="23">
        <f>_xlfn.XLOOKUP(A:A,[3]Matriz!$E:$E,[3]Matriz!$FF:$FF)</f>
        <v>0</v>
      </c>
    </row>
    <row r="167" spans="1:11" x14ac:dyDescent="0.35">
      <c r="A167" s="12" t="s">
        <v>308</v>
      </c>
      <c r="B167" s="1" t="s">
        <v>55</v>
      </c>
      <c r="C167" s="1" t="s">
        <v>867</v>
      </c>
      <c r="D167" s="21">
        <f>_xlfn.XLOOKUP(C:C,'[1]Reporte Flexible de Personas - '!$B:$B,'[1]Reporte Flexible de Personas - '!$E:$E)</f>
        <v>48280</v>
      </c>
      <c r="E167" s="21">
        <f>_xlfn.XLOOKUP(C:C,'[1]Reporte Flexible de Personas - '!$B:$B,'[1]Reporte Flexible de Personas - '!$G:$G)</f>
        <v>46640</v>
      </c>
      <c r="F167" s="25">
        <f>_xlfn.XLOOKUP(C:C,'[1]Reporte Flexible de Personas - '!$B:$B,'[1]Reporte Flexible de Personas - '!$I:$I)</f>
        <v>47232</v>
      </c>
      <c r="G167" s="23">
        <f>_xlfn.XLOOKUP(C:C,[2]Planilla!$C:$C,[2]Planilla!$H:$H)</f>
        <v>46819</v>
      </c>
      <c r="H167" s="23">
        <f>_xlfn.XLOOKUP(C:C,[2]Planilla!$C:$C,[2]Planilla!$I:$I)</f>
        <v>46819</v>
      </c>
      <c r="I167" s="23">
        <f>_xlfn.XLOOKUP(C:C,[2]Planilla!$C:$C,[2]Planilla!$J:$J)</f>
        <v>46994</v>
      </c>
      <c r="J167" s="23">
        <f>_xlfn.XLOOKUP(A:A,[3]Matriz!$E:$E,[3]Matriz!$FD:$FD)</f>
        <v>0</v>
      </c>
      <c r="K167" s="23">
        <f>_xlfn.XLOOKUP(A:A,[3]Matriz!$E:$E,[3]Matriz!$FF:$FF)</f>
        <v>0</v>
      </c>
    </row>
    <row r="168" spans="1:11" x14ac:dyDescent="0.35">
      <c r="A168" s="14" t="s">
        <v>252</v>
      </c>
      <c r="B168" s="1" t="s">
        <v>253</v>
      </c>
      <c r="C168" s="1" t="s">
        <v>868</v>
      </c>
      <c r="D168" s="21">
        <f>_xlfn.XLOOKUP(C:C,'[1]Reporte Flexible de Personas - '!$B:$B,'[1]Reporte Flexible de Personas - '!$E:$E)</f>
        <v>46579</v>
      </c>
      <c r="E168" s="21">
        <f>_xlfn.XLOOKUP(C:C,'[1]Reporte Flexible de Personas - '!$B:$B,'[1]Reporte Flexible de Personas - '!$G:$G)</f>
        <v>47161</v>
      </c>
      <c r="F168" s="25">
        <f>_xlfn.XLOOKUP(C:C,'[1]Reporte Flexible de Personas - '!$B:$B,'[1]Reporte Flexible de Personas - '!$I:$I)</f>
        <v>47292</v>
      </c>
      <c r="G168" s="23">
        <f>_xlfn.XLOOKUP(C:C,[2]Planilla!$C:$C,[2]Planilla!$H:$H)</f>
        <v>46579</v>
      </c>
      <c r="H168" s="23">
        <f>_xlfn.XLOOKUP(C:C,[2]Planilla!$C:$C,[2]Planilla!$I:$I)</f>
        <v>46554</v>
      </c>
      <c r="I168" s="23">
        <f>_xlfn.XLOOKUP(C:C,[2]Planilla!$C:$C,[2]Planilla!$J:$J)</f>
        <v>47554</v>
      </c>
      <c r="J168" s="23">
        <f>_xlfn.XLOOKUP(A:A,[3]Matriz!$E:$E,[3]Matriz!$FD:$FD)</f>
        <v>0</v>
      </c>
      <c r="K168" s="23">
        <f>_xlfn.XLOOKUP(A:A,[3]Matriz!$E:$E,[3]Matriz!$FF:$FF)</f>
        <v>0</v>
      </c>
    </row>
    <row r="169" spans="1:11" x14ac:dyDescent="0.35">
      <c r="A169" s="12" t="s">
        <v>444</v>
      </c>
      <c r="B169" s="1" t="s">
        <v>219</v>
      </c>
      <c r="C169" s="1" t="s">
        <v>869</v>
      </c>
      <c r="D169" s="21">
        <f>_xlfn.XLOOKUP(C:C,'[1]Reporte Flexible de Personas - '!$B:$B,'[1]Reporte Flexible de Personas - '!$E:$E)</f>
        <v>46335</v>
      </c>
      <c r="E169" s="21">
        <f>_xlfn.XLOOKUP(C:C,'[1]Reporte Flexible de Personas - '!$B:$B,'[1]Reporte Flexible de Personas - '!$G:$G)</f>
        <v>46818</v>
      </c>
      <c r="F169" s="25">
        <f>_xlfn.XLOOKUP(C:C,'[1]Reporte Flexible de Personas - '!$B:$B,'[1]Reporte Flexible de Personas - '!$I:$I)</f>
        <v>47301</v>
      </c>
      <c r="G169" s="23" t="e">
        <f>_xlfn.XLOOKUP(C:C,[2]Planilla!$C:$C,[2]Planilla!$H:$H)</f>
        <v>#N/A</v>
      </c>
      <c r="H169" s="23" t="e">
        <f>_xlfn.XLOOKUP(C:C,[2]Planilla!$C:$C,[2]Planilla!$I:$I)</f>
        <v>#N/A</v>
      </c>
      <c r="I169" s="23" t="e">
        <f>_xlfn.XLOOKUP(C:C,[2]Planilla!$C:$C,[2]Planilla!$J:$J)</f>
        <v>#N/A</v>
      </c>
      <c r="J169" s="23">
        <f>_xlfn.XLOOKUP(A:A,[3]Matriz!$E:$E,[3]Matriz!$FD:$FD)</f>
        <v>0</v>
      </c>
      <c r="K169" s="23">
        <f>_xlfn.XLOOKUP(A:A,[3]Matriz!$E:$E,[3]Matriz!$FF:$FF)</f>
        <v>0</v>
      </c>
    </row>
    <row r="170" spans="1:11" x14ac:dyDescent="0.35">
      <c r="A170" s="12" t="s">
        <v>284</v>
      </c>
      <c r="B170" s="1" t="s">
        <v>220</v>
      </c>
      <c r="C170" s="1" t="s">
        <v>870</v>
      </c>
      <c r="D170" s="21">
        <f>_xlfn.XLOOKUP(C:C,'[1]Reporte Flexible de Personas - '!$B:$B,'[1]Reporte Flexible de Personas - '!$E:$E)</f>
        <v>46580</v>
      </c>
      <c r="E170" s="21">
        <f>_xlfn.XLOOKUP(C:C,'[1]Reporte Flexible de Personas - '!$B:$B,'[1]Reporte Flexible de Personas - '!$G:$G)</f>
        <v>46396</v>
      </c>
      <c r="F170" s="25">
        <f>_xlfn.XLOOKUP(C:C,'[1]Reporte Flexible de Personas - '!$B:$B,'[1]Reporte Flexible de Personas - '!$I:$I)</f>
        <v>47224</v>
      </c>
      <c r="G170" s="23">
        <f>_xlfn.XLOOKUP(C:C,[2]Planilla!$C:$C,[2]Planilla!$H:$H)</f>
        <v>46928</v>
      </c>
      <c r="H170" s="23">
        <f>_xlfn.XLOOKUP(C:C,[2]Planilla!$C:$C,[2]Planilla!$I:$I)</f>
        <v>46928</v>
      </c>
      <c r="I170" s="23">
        <f>_xlfn.XLOOKUP(C:C,[2]Planilla!$C:$C,[2]Planilla!$J:$J)</f>
        <v>47210</v>
      </c>
      <c r="J170" s="23">
        <f>_xlfn.XLOOKUP(A:A,[3]Matriz!$E:$E,[3]Matriz!$FD:$FD)</f>
        <v>46388</v>
      </c>
      <c r="K170" s="23">
        <f>_xlfn.XLOOKUP(A:A,[3]Matriz!$E:$E,[3]Matriz!$FF:$FF)</f>
        <v>0</v>
      </c>
    </row>
    <row r="171" spans="1:11" x14ac:dyDescent="0.35">
      <c r="A171" s="12" t="s">
        <v>536</v>
      </c>
      <c r="B171" s="1" t="s">
        <v>177</v>
      </c>
      <c r="C171" s="1" t="s">
        <v>871</v>
      </c>
      <c r="D171" s="21">
        <f>_xlfn.XLOOKUP(C:C,'[1]Reporte Flexible de Personas - '!$B:$B,'[1]Reporte Flexible de Personas - '!$E:$E)</f>
        <v>49692</v>
      </c>
      <c r="E171" s="21">
        <f>_xlfn.XLOOKUP(C:C,'[1]Reporte Flexible de Personas - '!$B:$B,'[1]Reporte Flexible de Personas - '!$G:$G)</f>
        <v>47056</v>
      </c>
      <c r="F171" s="25">
        <f>_xlfn.XLOOKUP(C:C,'[1]Reporte Flexible de Personas - '!$B:$B,'[1]Reporte Flexible de Personas - '!$I:$I)</f>
        <v>47377</v>
      </c>
      <c r="G171" s="23">
        <f>_xlfn.XLOOKUP(C:C,[2]Planilla!$C:$C,[2]Planilla!$H:$H)</f>
        <v>46405</v>
      </c>
      <c r="H171" s="23">
        <f>_xlfn.XLOOKUP(C:C,[2]Planilla!$C:$C,[2]Planilla!$I:$I)</f>
        <v>46405</v>
      </c>
      <c r="I171" s="23">
        <f>_xlfn.XLOOKUP(C:C,[2]Planilla!$C:$C,[2]Planilla!$J:$J)</f>
        <v>46325</v>
      </c>
      <c r="J171" s="23">
        <f>_xlfn.XLOOKUP(A:A,[3]Matriz!$E:$E,[3]Matriz!$FD:$FD)</f>
        <v>0</v>
      </c>
      <c r="K171" s="23">
        <f>_xlfn.XLOOKUP(A:A,[3]Matriz!$E:$E,[3]Matriz!$FF:$FF)</f>
        <v>46388</v>
      </c>
    </row>
    <row r="172" spans="1:11" x14ac:dyDescent="0.35">
      <c r="A172" s="12" t="s">
        <v>333</v>
      </c>
      <c r="B172" s="1" t="s">
        <v>107</v>
      </c>
      <c r="C172" s="1" t="s">
        <v>872</v>
      </c>
      <c r="D172" s="21">
        <f>_xlfn.XLOOKUP(C:C,'[1]Reporte Flexible de Personas - '!$B:$B,'[1]Reporte Flexible de Personas - '!$E:$E)</f>
        <v>46411</v>
      </c>
      <c r="E172" s="21">
        <f>_xlfn.XLOOKUP(C:C,'[1]Reporte Flexible de Personas - '!$B:$B,'[1]Reporte Flexible de Personas - '!$G:$G)</f>
        <v>46752</v>
      </c>
      <c r="F172" s="25">
        <f>_xlfn.XLOOKUP(C:C,'[1]Reporte Flexible de Personas - '!$B:$B,'[1]Reporte Flexible de Personas - '!$I:$I)</f>
        <v>47110</v>
      </c>
      <c r="G172" s="23">
        <f>_xlfn.XLOOKUP(C:C,[2]Planilla!$C:$C,[2]Planilla!$H:$H)</f>
        <v>46411</v>
      </c>
      <c r="H172" s="23">
        <f>_xlfn.XLOOKUP(C:C,[2]Planilla!$C:$C,[2]Planilla!$I:$I)</f>
        <v>46411</v>
      </c>
      <c r="I172" s="23">
        <f>_xlfn.XLOOKUP(C:C,[2]Planilla!$C:$C,[2]Planilla!$J:$J)</f>
        <v>46261</v>
      </c>
      <c r="J172" s="23">
        <f>_xlfn.XLOOKUP(A:A,[3]Matriz!$E:$E,[3]Matriz!$FD:$FD)</f>
        <v>46388</v>
      </c>
      <c r="K172" s="23">
        <f>_xlfn.XLOOKUP(A:A,[3]Matriz!$E:$E,[3]Matriz!$FF:$FF)</f>
        <v>0</v>
      </c>
    </row>
    <row r="173" spans="1:11" x14ac:dyDescent="0.35">
      <c r="A173" s="12" t="s">
        <v>271</v>
      </c>
      <c r="B173" s="1" t="s">
        <v>108</v>
      </c>
      <c r="C173" s="1" t="s">
        <v>873</v>
      </c>
      <c r="D173" s="21">
        <f>_xlfn.XLOOKUP(C:C,'[1]Reporte Flexible de Personas - '!$B:$B,'[1]Reporte Flexible de Personas - '!$E:$E)</f>
        <v>48121</v>
      </c>
      <c r="E173" s="21">
        <f>_xlfn.XLOOKUP(C:C,'[1]Reporte Flexible de Personas - '!$B:$B,'[1]Reporte Flexible de Personas - '!$G:$G)</f>
        <v>46743</v>
      </c>
      <c r="F173" s="25">
        <f>_xlfn.XLOOKUP(C:C,'[1]Reporte Flexible de Personas - '!$B:$B,'[1]Reporte Flexible de Personas - '!$I:$I)</f>
        <v>47139</v>
      </c>
      <c r="G173" s="23" t="e">
        <f>_xlfn.XLOOKUP(C:C,[2]Planilla!$C:$C,[2]Planilla!$H:$H)</f>
        <v>#N/A</v>
      </c>
      <c r="H173" s="23" t="e">
        <f>_xlfn.XLOOKUP(C:C,[2]Planilla!$C:$C,[2]Planilla!$I:$I)</f>
        <v>#N/A</v>
      </c>
      <c r="I173" s="23" t="e">
        <f>_xlfn.XLOOKUP(C:C,[2]Planilla!$C:$C,[2]Planilla!$J:$J)</f>
        <v>#N/A</v>
      </c>
      <c r="J173" s="23">
        <f>_xlfn.XLOOKUP(A:A,[3]Matriz!$E:$E,[3]Matriz!$FD:$FD)</f>
        <v>46388</v>
      </c>
      <c r="K173" s="23">
        <f>_xlfn.XLOOKUP(A:A,[3]Matriz!$E:$E,[3]Matriz!$FF:$FF)</f>
        <v>0</v>
      </c>
    </row>
    <row r="174" spans="1:11" x14ac:dyDescent="0.35">
      <c r="A174" s="12" t="s">
        <v>529</v>
      </c>
      <c r="B174" s="1" t="s">
        <v>221</v>
      </c>
      <c r="C174" s="1" t="s">
        <v>874</v>
      </c>
      <c r="D174" s="21" t="e">
        <f>_xlfn.XLOOKUP(C:C,'[1]Reporte Flexible de Personas - '!$B:$B,'[1]Reporte Flexible de Personas - '!$E:$E)</f>
        <v>#N/A</v>
      </c>
      <c r="E174" s="21" t="e">
        <f>_xlfn.XLOOKUP(C:C,'[1]Reporte Flexible de Personas - '!$B:$B,'[1]Reporte Flexible de Personas - '!$G:$G)</f>
        <v>#N/A</v>
      </c>
      <c r="F174" s="25" t="e">
        <f>_xlfn.XLOOKUP(C:C,'[1]Reporte Flexible de Personas - '!$B:$B,'[1]Reporte Flexible de Personas - '!$I:$I)</f>
        <v>#N/A</v>
      </c>
      <c r="G174" s="23" t="e">
        <f>_xlfn.XLOOKUP(C:C,[2]Planilla!$C:$C,[2]Planilla!$H:$H)</f>
        <v>#N/A</v>
      </c>
      <c r="H174" s="23" t="e">
        <f>_xlfn.XLOOKUP(C:C,[2]Planilla!$C:$C,[2]Planilla!$I:$I)</f>
        <v>#N/A</v>
      </c>
      <c r="I174" s="23" t="e">
        <f>_xlfn.XLOOKUP(C:C,[2]Planilla!$C:$C,[2]Planilla!$J:$J)</f>
        <v>#N/A</v>
      </c>
      <c r="J174" s="23">
        <f>_xlfn.XLOOKUP(A:A,[3]Matriz!$E:$E,[3]Matriz!$FD:$FD)</f>
        <v>0</v>
      </c>
      <c r="K174" s="23">
        <f>_xlfn.XLOOKUP(A:A,[3]Matriz!$E:$E,[3]Matriz!$FF:$FF)</f>
        <v>0</v>
      </c>
    </row>
    <row r="175" spans="1:11" x14ac:dyDescent="0.35">
      <c r="A175" s="14" t="s">
        <v>462</v>
      </c>
      <c r="B175" s="1" t="s">
        <v>1</v>
      </c>
      <c r="C175" s="1" t="s">
        <v>875</v>
      </c>
      <c r="D175" s="21" t="e">
        <f>_xlfn.XLOOKUP(C:C,'[1]Reporte Flexible de Personas - '!$B:$B,'[1]Reporte Flexible de Personas - '!$E:$E)</f>
        <v>#N/A</v>
      </c>
      <c r="E175" s="21" t="e">
        <f>_xlfn.XLOOKUP(C:C,'[1]Reporte Flexible de Personas - '!$B:$B,'[1]Reporte Flexible de Personas - '!$G:$G)</f>
        <v>#N/A</v>
      </c>
      <c r="F175" s="25" t="e">
        <f>_xlfn.XLOOKUP(C:C,'[1]Reporte Flexible de Personas - '!$B:$B,'[1]Reporte Flexible de Personas - '!$I:$I)</f>
        <v>#N/A</v>
      </c>
      <c r="G175" s="23" t="e">
        <f>_xlfn.XLOOKUP(C:C,[2]Planilla!$C:$C,[2]Planilla!$H:$H)</f>
        <v>#N/A</v>
      </c>
      <c r="H175" s="23" t="e">
        <f>_xlfn.XLOOKUP(C:C,[2]Planilla!$C:$C,[2]Planilla!$I:$I)</f>
        <v>#N/A</v>
      </c>
      <c r="I175" s="23" t="e">
        <f>_xlfn.XLOOKUP(C:C,[2]Planilla!$C:$C,[2]Planilla!$J:$J)</f>
        <v>#N/A</v>
      </c>
      <c r="J175" s="23">
        <f>_xlfn.XLOOKUP(A:A,[3]Matriz!$E:$E,[3]Matriz!$FD:$FD)</f>
        <v>0</v>
      </c>
      <c r="K175" s="23">
        <f>_xlfn.XLOOKUP(A:A,[3]Matriz!$E:$E,[3]Matriz!$FF:$FF)</f>
        <v>0</v>
      </c>
    </row>
    <row r="176" spans="1:11" x14ac:dyDescent="0.35">
      <c r="A176" s="12" t="s">
        <v>343</v>
      </c>
      <c r="B176" s="1" t="s">
        <v>178</v>
      </c>
      <c r="C176" s="1" t="s">
        <v>876</v>
      </c>
      <c r="D176" s="21">
        <f>_xlfn.XLOOKUP(C:C,'[1]Reporte Flexible de Personas - '!$B:$B,'[1]Reporte Flexible de Personas - '!$E:$E)</f>
        <v>47728</v>
      </c>
      <c r="E176" s="21">
        <f>_xlfn.XLOOKUP(C:C,'[1]Reporte Flexible de Personas - '!$B:$B,'[1]Reporte Flexible de Personas - '!$G:$G)</f>
        <v>46538</v>
      </c>
      <c r="F176" s="25">
        <f>_xlfn.XLOOKUP(C:C,'[1]Reporte Flexible de Personas - '!$B:$B,'[1]Reporte Flexible de Personas - '!$I:$I)</f>
        <v>46355</v>
      </c>
      <c r="G176" s="23" t="e">
        <f>_xlfn.XLOOKUP(C:C,[2]Planilla!$C:$C,[2]Planilla!$H:$H)</f>
        <v>#N/A</v>
      </c>
      <c r="H176" s="23" t="e">
        <f>_xlfn.XLOOKUP(C:C,[2]Planilla!$C:$C,[2]Planilla!$I:$I)</f>
        <v>#N/A</v>
      </c>
      <c r="I176" s="23" t="e">
        <f>_xlfn.XLOOKUP(C:C,[2]Planilla!$C:$C,[2]Planilla!$J:$J)</f>
        <v>#N/A</v>
      </c>
      <c r="J176" s="23">
        <f>_xlfn.XLOOKUP(A:A,[3]Matriz!$E:$E,[3]Matriz!$FD:$FD)</f>
        <v>0</v>
      </c>
      <c r="K176" s="23">
        <f>_xlfn.XLOOKUP(A:A,[3]Matriz!$E:$E,[3]Matriz!$FF:$FF)</f>
        <v>0</v>
      </c>
    </row>
    <row r="177" spans="1:11" x14ac:dyDescent="0.35">
      <c r="A177" s="12" t="s">
        <v>254</v>
      </c>
      <c r="B177" s="1" t="s">
        <v>179</v>
      </c>
      <c r="C177" s="1" t="s">
        <v>877</v>
      </c>
      <c r="D177" s="21">
        <f>_xlfn.XLOOKUP(C:C,'[1]Reporte Flexible de Personas - '!$B:$B,'[1]Reporte Flexible de Personas - '!$E:$E)</f>
        <v>47830</v>
      </c>
      <c r="E177" s="21">
        <f>_xlfn.XLOOKUP(C:C,'[1]Reporte Flexible de Personas - '!$B:$B,'[1]Reporte Flexible de Personas - '!$G:$G)</f>
        <v>46760</v>
      </c>
      <c r="F177" s="25">
        <f>_xlfn.XLOOKUP(C:C,'[1]Reporte Flexible de Personas - '!$B:$B,'[1]Reporte Flexible de Personas - '!$I:$I)</f>
        <v>46459</v>
      </c>
      <c r="G177" s="23" t="e">
        <f>_xlfn.XLOOKUP(C:C,[2]Planilla!$C:$C,[2]Planilla!$H:$H)</f>
        <v>#N/A</v>
      </c>
      <c r="H177" s="23" t="e">
        <f>_xlfn.XLOOKUP(C:C,[2]Planilla!$C:$C,[2]Planilla!$I:$I)</f>
        <v>#N/A</v>
      </c>
      <c r="I177" s="23" t="e">
        <f>_xlfn.XLOOKUP(C:C,[2]Planilla!$C:$C,[2]Planilla!$J:$J)</f>
        <v>#N/A</v>
      </c>
      <c r="J177" s="23">
        <f>_xlfn.XLOOKUP(A:A,[3]Matriz!$E:$E,[3]Matriz!$FD:$FD)</f>
        <v>0</v>
      </c>
      <c r="K177" s="23">
        <f>_xlfn.XLOOKUP(A:A,[3]Matriz!$E:$E,[3]Matriz!$FF:$FF)</f>
        <v>0</v>
      </c>
    </row>
    <row r="178" spans="1:11" x14ac:dyDescent="0.35">
      <c r="A178" s="12" t="s">
        <v>359</v>
      </c>
      <c r="B178" s="1" t="s">
        <v>109</v>
      </c>
      <c r="C178" s="1" t="s">
        <v>878</v>
      </c>
      <c r="D178" s="21">
        <f>_xlfn.XLOOKUP(C:C,'[1]Reporte Flexible de Personas - '!$B:$B,'[1]Reporte Flexible de Personas - '!$E:$E)</f>
        <v>46188</v>
      </c>
      <c r="E178" s="21">
        <f>_xlfn.XLOOKUP(C:C,'[1]Reporte Flexible de Personas - '!$B:$B,'[1]Reporte Flexible de Personas - '!$G:$G)</f>
        <v>46669</v>
      </c>
      <c r="F178" s="25">
        <f>_xlfn.XLOOKUP(C:C,'[1]Reporte Flexible de Personas - '!$B:$B,'[1]Reporte Flexible de Personas - '!$I:$I)</f>
        <v>47061</v>
      </c>
      <c r="G178" s="23" t="e">
        <f>_xlfn.XLOOKUP(C:C,[2]Planilla!$C:$C,[2]Planilla!$H:$H)</f>
        <v>#N/A</v>
      </c>
      <c r="H178" s="23" t="e">
        <f>_xlfn.XLOOKUP(C:C,[2]Planilla!$C:$C,[2]Planilla!$I:$I)</f>
        <v>#N/A</v>
      </c>
      <c r="I178" s="23" t="e">
        <f>_xlfn.XLOOKUP(C:C,[2]Planilla!$C:$C,[2]Planilla!$J:$J)</f>
        <v>#N/A</v>
      </c>
      <c r="J178" s="23">
        <f>_xlfn.XLOOKUP(A:A,[3]Matriz!$E:$E,[3]Matriz!$FD:$FD)</f>
        <v>0</v>
      </c>
      <c r="K178" s="23">
        <f>_xlfn.XLOOKUP(A:A,[3]Matriz!$E:$E,[3]Matriz!$FF:$FF)</f>
        <v>0</v>
      </c>
    </row>
    <row r="179" spans="1:11" x14ac:dyDescent="0.35">
      <c r="A179" s="12" t="s">
        <v>327</v>
      </c>
      <c r="B179" s="1" t="s">
        <v>110</v>
      </c>
      <c r="C179" s="1" t="s">
        <v>879</v>
      </c>
      <c r="D179" s="21">
        <f>_xlfn.XLOOKUP(C:C,'[1]Reporte Flexible de Personas - '!$B:$B,'[1]Reporte Flexible de Personas - '!$E:$E)</f>
        <v>48556</v>
      </c>
      <c r="E179" s="21">
        <f>_xlfn.XLOOKUP(C:C,'[1]Reporte Flexible de Personas - '!$B:$B,'[1]Reporte Flexible de Personas - '!$G:$G)</f>
        <v>46744</v>
      </c>
      <c r="F179" s="25">
        <f>_xlfn.XLOOKUP(C:C,'[1]Reporte Flexible de Personas - '!$B:$B,'[1]Reporte Flexible de Personas - '!$I:$I)</f>
        <v>47119</v>
      </c>
      <c r="G179" s="23">
        <f>_xlfn.XLOOKUP(C:C,[2]Planilla!$C:$C,[2]Planilla!$H:$H)</f>
        <v>47095</v>
      </c>
      <c r="H179" s="23">
        <f>_xlfn.XLOOKUP(C:C,[2]Planilla!$C:$C,[2]Planilla!$I:$I)</f>
        <v>46205</v>
      </c>
      <c r="I179" s="23">
        <f>_xlfn.XLOOKUP(C:C,[2]Planilla!$C:$C,[2]Planilla!$J:$J)</f>
        <v>46205</v>
      </c>
      <c r="J179" s="23">
        <f>_xlfn.XLOOKUP(A:A,[3]Matriz!$E:$E,[3]Matriz!$FD:$FD)</f>
        <v>0</v>
      </c>
      <c r="K179" s="23">
        <f>_xlfn.XLOOKUP(A:A,[3]Matriz!$E:$E,[3]Matriz!$FF:$FF)</f>
        <v>0</v>
      </c>
    </row>
    <row r="180" spans="1:11" x14ac:dyDescent="0.35">
      <c r="A180" s="12" t="s">
        <v>416</v>
      </c>
      <c r="B180" s="1" t="s">
        <v>56</v>
      </c>
      <c r="C180" s="1" t="s">
        <v>880</v>
      </c>
      <c r="D180" s="21">
        <f>_xlfn.XLOOKUP(C:C,'[1]Reporte Flexible de Personas - '!$B:$B,'[1]Reporte Flexible de Personas - '!$E:$E)</f>
        <v>48638</v>
      </c>
      <c r="E180" s="21">
        <f>_xlfn.XLOOKUP(C:C,'[1]Reporte Flexible de Personas - '!$B:$B,'[1]Reporte Flexible de Personas - '!$G:$G)</f>
        <v>46459</v>
      </c>
      <c r="F180" s="25">
        <f>_xlfn.XLOOKUP(C:C,'[1]Reporte Flexible de Personas - '!$B:$B,'[1]Reporte Flexible de Personas - '!$I:$I)</f>
        <v>46561</v>
      </c>
      <c r="G180" s="23" t="e">
        <f>_xlfn.XLOOKUP(C:C,[2]Planilla!$C:$C,[2]Planilla!$H:$H)</f>
        <v>#N/A</v>
      </c>
      <c r="H180" s="23" t="e">
        <f>_xlfn.XLOOKUP(C:C,[2]Planilla!$C:$C,[2]Planilla!$I:$I)</f>
        <v>#N/A</v>
      </c>
      <c r="I180" s="23" t="e">
        <f>_xlfn.XLOOKUP(C:C,[2]Planilla!$C:$C,[2]Planilla!$J:$J)</f>
        <v>#N/A</v>
      </c>
      <c r="J180" s="23">
        <f>_xlfn.XLOOKUP(A:A,[3]Matriz!$E:$E,[3]Matriz!$FD:$FD)</f>
        <v>46388</v>
      </c>
      <c r="K180" s="23">
        <f>_xlfn.XLOOKUP(A:A,[3]Matriz!$E:$E,[3]Matriz!$FF:$FF)</f>
        <v>46388</v>
      </c>
    </row>
    <row r="181" spans="1:11" x14ac:dyDescent="0.35">
      <c r="A181" s="12" t="s">
        <v>452</v>
      </c>
      <c r="B181" s="1" t="s">
        <v>129</v>
      </c>
      <c r="C181" s="1" t="s">
        <v>881</v>
      </c>
      <c r="D181" s="21" t="e">
        <f>_xlfn.XLOOKUP(C:C,'[1]Reporte Flexible de Personas - '!$B:$B,'[1]Reporte Flexible de Personas - '!$E:$E)</f>
        <v>#N/A</v>
      </c>
      <c r="E181" s="21" t="e">
        <f>_xlfn.XLOOKUP(C:C,'[1]Reporte Flexible de Personas - '!$B:$B,'[1]Reporte Flexible de Personas - '!$G:$G)</f>
        <v>#N/A</v>
      </c>
      <c r="F181" s="25" t="e">
        <f>_xlfn.XLOOKUP(C:C,'[1]Reporte Flexible de Personas - '!$B:$B,'[1]Reporte Flexible de Personas - '!$I:$I)</f>
        <v>#N/A</v>
      </c>
      <c r="G181" s="23" t="e">
        <f>_xlfn.XLOOKUP(C:C,[2]Planilla!$C:$C,[2]Planilla!$H:$H)</f>
        <v>#N/A</v>
      </c>
      <c r="H181" s="23" t="e">
        <f>_xlfn.XLOOKUP(C:C,[2]Planilla!$C:$C,[2]Planilla!$I:$I)</f>
        <v>#N/A</v>
      </c>
      <c r="I181" s="23" t="e">
        <f>_xlfn.XLOOKUP(C:C,[2]Planilla!$C:$C,[2]Planilla!$J:$J)</f>
        <v>#N/A</v>
      </c>
      <c r="J181" s="23">
        <f>_xlfn.XLOOKUP(A:A,[3]Matriz!$E:$E,[3]Matriz!$FD:$FD)</f>
        <v>0</v>
      </c>
      <c r="K181" s="23">
        <f>_xlfn.XLOOKUP(A:A,[3]Matriz!$E:$E,[3]Matriz!$FF:$FF)</f>
        <v>0</v>
      </c>
    </row>
    <row r="182" spans="1:11" x14ac:dyDescent="0.35">
      <c r="A182" s="12" t="s">
        <v>280</v>
      </c>
      <c r="B182" s="1" t="s">
        <v>57</v>
      </c>
      <c r="C182" s="1" t="s">
        <v>882</v>
      </c>
      <c r="D182" s="21">
        <f>_xlfn.XLOOKUP(C:C,'[1]Reporte Flexible de Personas - '!$B:$B,'[1]Reporte Flexible de Personas - '!$E:$E)</f>
        <v>46500</v>
      </c>
      <c r="E182" s="21">
        <f>_xlfn.XLOOKUP(C:C,'[1]Reporte Flexible de Personas - '!$B:$B,'[1]Reporte Flexible de Personas - '!$G:$G)</f>
        <v>46410</v>
      </c>
      <c r="F182" s="25">
        <f>_xlfn.XLOOKUP(C:C,'[1]Reporte Flexible de Personas - '!$B:$B,'[1]Reporte Flexible de Personas - '!$I:$I)</f>
        <v>47004</v>
      </c>
      <c r="G182" s="23">
        <f>_xlfn.XLOOKUP(C:C,[2]Planilla!$C:$C,[2]Planilla!$H:$H)</f>
        <v>46500</v>
      </c>
      <c r="H182" s="23">
        <f>_xlfn.XLOOKUP(C:C,[2]Planilla!$C:$C,[2]Planilla!$I:$I)</f>
        <v>46438</v>
      </c>
      <c r="I182" s="23">
        <f>_xlfn.XLOOKUP(C:C,[2]Planilla!$C:$C,[2]Planilla!$J:$J)</f>
        <v>46457</v>
      </c>
      <c r="J182" s="23">
        <f>_xlfn.XLOOKUP(A:A,[3]Matriz!$E:$E,[3]Matriz!$FD:$FD)</f>
        <v>46388</v>
      </c>
      <c r="K182" s="23">
        <f>_xlfn.XLOOKUP(A:A,[3]Matriz!$E:$E,[3]Matriz!$FF:$FF)</f>
        <v>46388</v>
      </c>
    </row>
    <row r="183" spans="1:11" x14ac:dyDescent="0.35">
      <c r="A183" s="12" t="s">
        <v>335</v>
      </c>
      <c r="B183" s="1" t="s">
        <v>180</v>
      </c>
      <c r="C183" s="1" t="s">
        <v>883</v>
      </c>
      <c r="D183" s="21">
        <f>_xlfn.XLOOKUP(C:C,'[1]Reporte Flexible de Personas - '!$B:$B,'[1]Reporte Flexible de Personas - '!$E:$E)</f>
        <v>47938</v>
      </c>
      <c r="E183" s="21">
        <f>_xlfn.XLOOKUP(C:C,'[1]Reporte Flexible de Personas - '!$B:$B,'[1]Reporte Flexible de Personas - '!$G:$G)</f>
        <v>46329</v>
      </c>
      <c r="F183" s="25">
        <f>_xlfn.XLOOKUP(C:C,'[1]Reporte Flexible de Personas - '!$B:$B,'[1]Reporte Flexible de Personas - '!$I:$I)</f>
        <v>47570</v>
      </c>
      <c r="G183" s="23" t="e">
        <f>_xlfn.XLOOKUP(C:C,[2]Planilla!$C:$C,[2]Planilla!$H:$H)</f>
        <v>#N/A</v>
      </c>
      <c r="H183" s="23" t="e">
        <f>_xlfn.XLOOKUP(C:C,[2]Planilla!$C:$C,[2]Planilla!$I:$I)</f>
        <v>#N/A</v>
      </c>
      <c r="I183" s="23" t="e">
        <f>_xlfn.XLOOKUP(C:C,[2]Planilla!$C:$C,[2]Planilla!$J:$J)</f>
        <v>#N/A</v>
      </c>
      <c r="J183" s="23">
        <f>_xlfn.XLOOKUP(A:A,[3]Matriz!$E:$E,[3]Matriz!$FD:$FD)</f>
        <v>46388</v>
      </c>
      <c r="K183" s="23">
        <f>_xlfn.XLOOKUP(A:A,[3]Matriz!$E:$E,[3]Matriz!$FF:$FF)</f>
        <v>0</v>
      </c>
    </row>
    <row r="184" spans="1:11" x14ac:dyDescent="0.35">
      <c r="A184" s="12" t="s">
        <v>414</v>
      </c>
      <c r="B184" s="1" t="s">
        <v>181</v>
      </c>
      <c r="C184" s="1" t="s">
        <v>884</v>
      </c>
      <c r="D184" s="21">
        <f>_xlfn.XLOOKUP(C:C,'[1]Reporte Flexible de Personas - '!$B:$B,'[1]Reporte Flexible de Personas - '!$E:$E)</f>
        <v>46545</v>
      </c>
      <c r="E184" s="21">
        <f>_xlfn.XLOOKUP(C:C,'[1]Reporte Flexible de Personas - '!$B:$B,'[1]Reporte Flexible de Personas - '!$G:$G)</f>
        <v>46801</v>
      </c>
      <c r="F184" s="25">
        <f>_xlfn.XLOOKUP(C:C,'[1]Reporte Flexible de Personas - '!$B:$B,'[1]Reporte Flexible de Personas - '!$I:$I)</f>
        <v>46989</v>
      </c>
      <c r="G184" s="23">
        <f>_xlfn.XLOOKUP(C:C,[2]Planilla!$C:$C,[2]Planilla!$H:$H)</f>
        <v>46251</v>
      </c>
      <c r="H184" s="23">
        <f>_xlfn.XLOOKUP(C:C,[2]Planilla!$C:$C,[2]Planilla!$I:$I)</f>
        <v>46251</v>
      </c>
      <c r="I184" s="23">
        <f>_xlfn.XLOOKUP(C:C,[2]Planilla!$C:$C,[2]Planilla!$J:$J)</f>
        <v>46414</v>
      </c>
      <c r="J184" s="23">
        <f>_xlfn.XLOOKUP(A:A,[3]Matriz!$E:$E,[3]Matriz!$FD:$FD)</f>
        <v>0</v>
      </c>
      <c r="K184" s="23">
        <f>_xlfn.XLOOKUP(A:A,[3]Matriz!$E:$E,[3]Matriz!$FF:$FF)</f>
        <v>46388</v>
      </c>
    </row>
    <row r="185" spans="1:11" x14ac:dyDescent="0.35">
      <c r="A185" s="12" t="s">
        <v>348</v>
      </c>
      <c r="B185" s="1" t="s">
        <v>111</v>
      </c>
      <c r="C185" s="1" t="s">
        <v>885</v>
      </c>
      <c r="D185" s="21">
        <f>_xlfn.XLOOKUP(C:C,'[1]Reporte Flexible de Personas - '!$B:$B,'[1]Reporte Flexible de Personas - '!$E:$E)</f>
        <v>46833</v>
      </c>
      <c r="E185" s="21">
        <f>_xlfn.XLOOKUP(C:C,'[1]Reporte Flexible de Personas - '!$B:$B,'[1]Reporte Flexible de Personas - '!$G:$G)</f>
        <v>46543</v>
      </c>
      <c r="F185" s="25">
        <f>_xlfn.XLOOKUP(C:C,'[1]Reporte Flexible de Personas - '!$B:$B,'[1]Reporte Flexible de Personas - '!$I:$I)</f>
        <v>46583</v>
      </c>
      <c r="G185" s="23" t="e">
        <f>_xlfn.XLOOKUP(C:C,[2]Planilla!$C:$C,[2]Planilla!$H:$H)</f>
        <v>#N/A</v>
      </c>
      <c r="H185" s="23" t="e">
        <f>_xlfn.XLOOKUP(C:C,[2]Planilla!$C:$C,[2]Planilla!$I:$I)</f>
        <v>#N/A</v>
      </c>
      <c r="I185" s="23" t="e">
        <f>_xlfn.XLOOKUP(C:C,[2]Planilla!$C:$C,[2]Planilla!$J:$J)</f>
        <v>#N/A</v>
      </c>
      <c r="J185" s="23">
        <f>_xlfn.XLOOKUP(A:A,[3]Matriz!$E:$E,[3]Matriz!$FD:$FD)</f>
        <v>0</v>
      </c>
      <c r="K185" s="23">
        <f>_xlfn.XLOOKUP(A:A,[3]Matriz!$E:$E,[3]Matriz!$FF:$FF)</f>
        <v>0</v>
      </c>
    </row>
    <row r="186" spans="1:11" x14ac:dyDescent="0.35">
      <c r="A186" s="12" t="s">
        <v>463</v>
      </c>
      <c r="B186" s="1" t="s">
        <v>196</v>
      </c>
      <c r="C186" s="1" t="s">
        <v>886</v>
      </c>
      <c r="D186" s="21" t="e">
        <f>_xlfn.XLOOKUP(C:C,'[1]Reporte Flexible de Personas - '!$B:$B,'[1]Reporte Flexible de Personas - '!$E:$E)</f>
        <v>#N/A</v>
      </c>
      <c r="E186" s="21" t="e">
        <f>_xlfn.XLOOKUP(C:C,'[1]Reporte Flexible de Personas - '!$B:$B,'[1]Reporte Flexible de Personas - '!$G:$G)</f>
        <v>#N/A</v>
      </c>
      <c r="F186" s="25" t="e">
        <f>_xlfn.XLOOKUP(C:C,'[1]Reporte Flexible de Personas - '!$B:$B,'[1]Reporte Flexible de Personas - '!$I:$I)</f>
        <v>#N/A</v>
      </c>
      <c r="G186" s="23">
        <f>_xlfn.XLOOKUP(C:C,[2]Planilla!$C:$C,[2]Planilla!$H:$H)</f>
        <v>46392</v>
      </c>
      <c r="H186" s="23">
        <f>_xlfn.XLOOKUP(C:C,[2]Planilla!$C:$C,[2]Planilla!$I:$I)</f>
        <v>46392</v>
      </c>
      <c r="I186" s="23">
        <f>_xlfn.XLOOKUP(C:C,[2]Planilla!$C:$C,[2]Planilla!$J:$J)</f>
        <v>47505</v>
      </c>
      <c r="J186" s="23">
        <f>_xlfn.XLOOKUP(A:A,[3]Matriz!$E:$E,[3]Matriz!$FD:$FD)</f>
        <v>0</v>
      </c>
      <c r="K186" s="23">
        <f>_xlfn.XLOOKUP(A:A,[3]Matriz!$E:$E,[3]Matriz!$FF:$FF)</f>
        <v>0</v>
      </c>
    </row>
    <row r="187" spans="1:11" x14ac:dyDescent="0.35">
      <c r="A187" s="12" t="s">
        <v>419</v>
      </c>
      <c r="B187" s="1" t="s">
        <v>420</v>
      </c>
      <c r="C187" s="1" t="s">
        <v>887</v>
      </c>
      <c r="D187" s="21" t="e">
        <f>_xlfn.XLOOKUP(C:C,'[1]Reporte Flexible de Personas - '!$B:$B,'[1]Reporte Flexible de Personas - '!$E:$E)</f>
        <v>#N/A</v>
      </c>
      <c r="E187" s="21" t="e">
        <f>_xlfn.XLOOKUP(C:C,'[1]Reporte Flexible de Personas - '!$B:$B,'[1]Reporte Flexible de Personas - '!$G:$G)</f>
        <v>#N/A</v>
      </c>
      <c r="F187" s="25" t="e">
        <f>_xlfn.XLOOKUP(C:C,'[1]Reporte Flexible de Personas - '!$B:$B,'[1]Reporte Flexible de Personas - '!$I:$I)</f>
        <v>#N/A</v>
      </c>
      <c r="G187" s="23" t="e">
        <f>_xlfn.XLOOKUP(C:C,[2]Planilla!$C:$C,[2]Planilla!$H:$H)</f>
        <v>#N/A</v>
      </c>
      <c r="H187" s="23" t="e">
        <f>_xlfn.XLOOKUP(C:C,[2]Planilla!$C:$C,[2]Planilla!$I:$I)</f>
        <v>#N/A</v>
      </c>
      <c r="I187" s="23" t="e">
        <f>_xlfn.XLOOKUP(C:C,[2]Planilla!$C:$C,[2]Planilla!$J:$J)</f>
        <v>#N/A</v>
      </c>
      <c r="J187" s="23">
        <f>_xlfn.XLOOKUP(A:A,[3]Matriz!$E:$E,[3]Matriz!$FD:$FD)</f>
        <v>0</v>
      </c>
      <c r="K187" s="23">
        <f>_xlfn.XLOOKUP(A:A,[3]Matriz!$E:$E,[3]Matriz!$FF:$FF)</f>
        <v>0</v>
      </c>
    </row>
    <row r="188" spans="1:11" x14ac:dyDescent="0.35">
      <c r="A188" s="14" t="s">
        <v>574</v>
      </c>
      <c r="B188" s="1" t="s">
        <v>130</v>
      </c>
      <c r="C188" s="1" t="s">
        <v>888</v>
      </c>
      <c r="D188" s="21" t="e">
        <f>_xlfn.XLOOKUP(C:C,'[1]Reporte Flexible de Personas - '!$B:$B,'[1]Reporte Flexible de Personas - '!$E:$E)</f>
        <v>#N/A</v>
      </c>
      <c r="E188" s="21" t="e">
        <f>_xlfn.XLOOKUP(C:C,'[1]Reporte Flexible de Personas - '!$B:$B,'[1]Reporte Flexible de Personas - '!$G:$G)</f>
        <v>#N/A</v>
      </c>
      <c r="F188" s="25" t="e">
        <f>_xlfn.XLOOKUP(C:C,'[1]Reporte Flexible de Personas - '!$B:$B,'[1]Reporte Flexible de Personas - '!$I:$I)</f>
        <v>#N/A</v>
      </c>
      <c r="G188" s="23" t="e">
        <f>_xlfn.XLOOKUP(C:C,[2]Planilla!$C:$C,[2]Planilla!$H:$H)</f>
        <v>#N/A</v>
      </c>
      <c r="H188" s="23" t="e">
        <f>_xlfn.XLOOKUP(C:C,[2]Planilla!$C:$C,[2]Planilla!$I:$I)</f>
        <v>#N/A</v>
      </c>
      <c r="I188" s="23" t="e">
        <f>_xlfn.XLOOKUP(C:C,[2]Planilla!$C:$C,[2]Planilla!$J:$J)</f>
        <v>#N/A</v>
      </c>
      <c r="J188" s="23">
        <f>_xlfn.XLOOKUP(A:A,[3]Matriz!$E:$E,[3]Matriz!$FD:$FD)</f>
        <v>0</v>
      </c>
      <c r="K188" s="23">
        <f>_xlfn.XLOOKUP(A:A,[3]Matriz!$E:$E,[3]Matriz!$FF:$FF)</f>
        <v>0</v>
      </c>
    </row>
    <row r="189" spans="1:11" x14ac:dyDescent="0.35">
      <c r="A189" s="14" t="s">
        <v>329</v>
      </c>
      <c r="B189" s="1" t="s">
        <v>112</v>
      </c>
      <c r="C189" s="1" t="s">
        <v>889</v>
      </c>
      <c r="D189" s="21">
        <f>_xlfn.XLOOKUP(C:C,'[1]Reporte Flexible de Personas - '!$B:$B,'[1]Reporte Flexible de Personas - '!$E:$E)</f>
        <v>49772</v>
      </c>
      <c r="E189" s="21">
        <f>_xlfn.XLOOKUP(C:C,'[1]Reporte Flexible de Personas - '!$B:$B,'[1]Reporte Flexible de Personas - '!$G:$G)</f>
        <v>46724</v>
      </c>
      <c r="F189" s="25">
        <f>_xlfn.XLOOKUP(C:C,'[1]Reporte Flexible de Personas - '!$B:$B,'[1]Reporte Flexible de Personas - '!$I:$I)</f>
        <v>47506</v>
      </c>
      <c r="G189" s="23" t="e">
        <f>_xlfn.XLOOKUP(C:C,[2]Planilla!$C:$C,[2]Planilla!$H:$H)</f>
        <v>#N/A</v>
      </c>
      <c r="H189" s="23" t="e">
        <f>_xlfn.XLOOKUP(C:C,[2]Planilla!$C:$C,[2]Planilla!$I:$I)</f>
        <v>#N/A</v>
      </c>
      <c r="I189" s="23" t="e">
        <f>_xlfn.XLOOKUP(C:C,[2]Planilla!$C:$C,[2]Planilla!$J:$J)</f>
        <v>#N/A</v>
      </c>
      <c r="J189" s="23">
        <f>_xlfn.XLOOKUP(A:A,[3]Matriz!$E:$E,[3]Matriz!$FD:$FD)</f>
        <v>0</v>
      </c>
      <c r="K189" s="23">
        <f>_xlfn.XLOOKUP(A:A,[3]Matriz!$E:$E,[3]Matriz!$FF:$FF)</f>
        <v>0</v>
      </c>
    </row>
    <row r="190" spans="1:11" x14ac:dyDescent="0.35">
      <c r="A190" s="12" t="s">
        <v>368</v>
      </c>
      <c r="B190" s="1" t="s">
        <v>113</v>
      </c>
      <c r="C190" s="1" t="s">
        <v>890</v>
      </c>
      <c r="D190" s="21">
        <f>_xlfn.XLOOKUP(C:C,'[1]Reporte Flexible de Personas - '!$B:$B,'[1]Reporte Flexible de Personas - '!$E:$E)</f>
        <v>46196</v>
      </c>
      <c r="E190" s="21">
        <f>_xlfn.XLOOKUP(C:C,'[1]Reporte Flexible de Personas - '!$B:$B,'[1]Reporte Flexible de Personas - '!$G:$G)</f>
        <v>46964</v>
      </c>
      <c r="F190" s="25">
        <f>_xlfn.XLOOKUP(C:C,'[1]Reporte Flexible de Personas - '!$B:$B,'[1]Reporte Flexible de Personas - '!$I:$I)</f>
        <v>47483</v>
      </c>
      <c r="G190" s="23" t="e">
        <f>_xlfn.XLOOKUP(C:C,[2]Planilla!$C:$C,[2]Planilla!$H:$H)</f>
        <v>#N/A</v>
      </c>
      <c r="H190" s="23" t="e">
        <f>_xlfn.XLOOKUP(C:C,[2]Planilla!$C:$C,[2]Planilla!$I:$I)</f>
        <v>#N/A</v>
      </c>
      <c r="I190" s="23" t="e">
        <f>_xlfn.XLOOKUP(C:C,[2]Planilla!$C:$C,[2]Planilla!$J:$J)</f>
        <v>#N/A</v>
      </c>
      <c r="J190" s="23">
        <f>_xlfn.XLOOKUP(A:A,[3]Matriz!$E:$E,[3]Matriz!$FD:$FD)</f>
        <v>0</v>
      </c>
      <c r="K190" s="23">
        <f>_xlfn.XLOOKUP(A:A,[3]Matriz!$E:$E,[3]Matriz!$FF:$FF)</f>
        <v>46388</v>
      </c>
    </row>
    <row r="191" spans="1:11" x14ac:dyDescent="0.35">
      <c r="A191" s="12" t="s">
        <v>508</v>
      </c>
      <c r="B191" s="1" t="s">
        <v>509</v>
      </c>
      <c r="C191" s="1" t="s">
        <v>891</v>
      </c>
      <c r="D191" s="21">
        <f>_xlfn.XLOOKUP(C:C,'[1]Reporte Flexible de Personas - '!$B:$B,'[1]Reporte Flexible de Personas - '!$E:$E)</f>
        <v>47933</v>
      </c>
      <c r="E191" s="21">
        <f>_xlfn.XLOOKUP(C:C,'[1]Reporte Flexible de Personas - '!$B:$B,'[1]Reporte Flexible de Personas - '!$G:$G)</f>
        <v>47187</v>
      </c>
      <c r="F191" s="25">
        <f>_xlfn.XLOOKUP(C:C,'[1]Reporte Flexible de Personas - '!$B:$B,'[1]Reporte Flexible de Personas - '!$I:$I)</f>
        <v>47085</v>
      </c>
      <c r="G191" s="23">
        <f>_xlfn.XLOOKUP(C:C,[2]Planilla!$C:$C,[2]Planilla!$H:$H)</f>
        <v>47933</v>
      </c>
      <c r="H191" s="23">
        <f>_xlfn.XLOOKUP(C:C,[2]Planilla!$C:$C,[2]Planilla!$I:$I)</f>
        <v>47933</v>
      </c>
      <c r="I191" s="23">
        <f>_xlfn.XLOOKUP(C:C,[2]Planilla!$C:$C,[2]Planilla!$J:$J)</f>
        <v>46407</v>
      </c>
      <c r="J191" s="23">
        <f>_xlfn.XLOOKUP(A:A,[3]Matriz!$E:$E,[3]Matriz!$FD:$FD)</f>
        <v>0</v>
      </c>
      <c r="K191" s="23">
        <f>_xlfn.XLOOKUP(A:A,[3]Matriz!$E:$E,[3]Matriz!$FF:$FF)</f>
        <v>0</v>
      </c>
    </row>
    <row r="192" spans="1:11" x14ac:dyDescent="0.35">
      <c r="A192" s="12" t="s">
        <v>478</v>
      </c>
      <c r="B192" s="1" t="s">
        <v>479</v>
      </c>
      <c r="C192" s="1" t="s">
        <v>892</v>
      </c>
      <c r="D192" s="21" t="e">
        <f>_xlfn.XLOOKUP(C:C,'[1]Reporte Flexible de Personas - '!$B:$B,'[1]Reporte Flexible de Personas - '!$E:$E)</f>
        <v>#N/A</v>
      </c>
      <c r="E192" s="21" t="e">
        <f>_xlfn.XLOOKUP(C:C,'[1]Reporte Flexible de Personas - '!$B:$B,'[1]Reporte Flexible de Personas - '!$G:$G)</f>
        <v>#N/A</v>
      </c>
      <c r="F192" s="25" t="e">
        <f>_xlfn.XLOOKUP(C:C,'[1]Reporte Flexible de Personas - '!$B:$B,'[1]Reporte Flexible de Personas - '!$I:$I)</f>
        <v>#N/A</v>
      </c>
      <c r="G192" s="23" t="e">
        <f>_xlfn.XLOOKUP(C:C,[2]Planilla!$C:$C,[2]Planilla!$H:$H)</f>
        <v>#N/A</v>
      </c>
      <c r="H192" s="23" t="e">
        <f>_xlfn.XLOOKUP(C:C,[2]Planilla!$C:$C,[2]Planilla!$I:$I)</f>
        <v>#N/A</v>
      </c>
      <c r="I192" s="23" t="e">
        <f>_xlfn.XLOOKUP(C:C,[2]Planilla!$C:$C,[2]Planilla!$J:$J)</f>
        <v>#N/A</v>
      </c>
      <c r="J192" s="23">
        <f>_xlfn.XLOOKUP(A:A,[3]Matriz!$E:$E,[3]Matriz!$FD:$FD)</f>
        <v>0</v>
      </c>
      <c r="K192" s="23">
        <f>_xlfn.XLOOKUP(A:A,[3]Matriz!$E:$E,[3]Matriz!$FF:$FF)</f>
        <v>0</v>
      </c>
    </row>
    <row r="193" spans="1:11" x14ac:dyDescent="0.35">
      <c r="A193" s="12" t="s">
        <v>290</v>
      </c>
      <c r="B193" s="1" t="s">
        <v>182</v>
      </c>
      <c r="C193" s="1" t="s">
        <v>893</v>
      </c>
      <c r="D193" s="21">
        <f>_xlfn.XLOOKUP(C:C,'[1]Reporte Flexible de Personas - '!$B:$B,'[1]Reporte Flexible de Personas - '!$E:$E)</f>
        <v>49031</v>
      </c>
      <c r="E193" s="21">
        <f>_xlfn.XLOOKUP(C:C,'[1]Reporte Flexible de Personas - '!$B:$B,'[1]Reporte Flexible de Personas - '!$G:$G)</f>
        <v>46662</v>
      </c>
      <c r="F193" s="25">
        <f>_xlfn.XLOOKUP(C:C,'[1]Reporte Flexible de Personas - '!$B:$B,'[1]Reporte Flexible de Personas - '!$I:$I)</f>
        <v>47029</v>
      </c>
      <c r="G193" s="23">
        <f>_xlfn.XLOOKUP(C:C,[2]Planilla!$C:$C,[2]Planilla!$H:$H)</f>
        <v>47570</v>
      </c>
      <c r="H193" s="23">
        <f>_xlfn.XLOOKUP(C:C,[2]Planilla!$C:$C,[2]Planilla!$I:$I)</f>
        <v>47570</v>
      </c>
      <c r="I193" s="23">
        <f>_xlfn.XLOOKUP(C:C,[2]Planilla!$C:$C,[2]Planilla!$J:$J)</f>
        <v>46198</v>
      </c>
      <c r="J193" s="23">
        <f>_xlfn.XLOOKUP(A:A,[3]Matriz!$E:$E,[3]Matriz!$FD:$FD)</f>
        <v>46388</v>
      </c>
      <c r="K193" s="23">
        <f>_xlfn.XLOOKUP(A:A,[3]Matriz!$E:$E,[3]Matriz!$FF:$FF)</f>
        <v>0</v>
      </c>
    </row>
    <row r="194" spans="1:11" x14ac:dyDescent="0.35">
      <c r="A194" s="12" t="s">
        <v>573</v>
      </c>
      <c r="B194" s="1" t="s">
        <v>555</v>
      </c>
      <c r="C194" s="1" t="s">
        <v>894</v>
      </c>
      <c r="D194" s="21" t="e">
        <f>_xlfn.XLOOKUP(C:C,'[1]Reporte Flexible de Personas - '!$B:$B,'[1]Reporte Flexible de Personas - '!$E:$E)</f>
        <v>#N/A</v>
      </c>
      <c r="E194" s="21" t="e">
        <f>_xlfn.XLOOKUP(C:C,'[1]Reporte Flexible de Personas - '!$B:$B,'[1]Reporte Flexible de Personas - '!$G:$G)</f>
        <v>#N/A</v>
      </c>
      <c r="F194" s="25" t="e">
        <f>_xlfn.XLOOKUP(C:C,'[1]Reporte Flexible de Personas - '!$B:$B,'[1]Reporte Flexible de Personas - '!$I:$I)</f>
        <v>#N/A</v>
      </c>
      <c r="G194" s="23" t="e">
        <f>_xlfn.XLOOKUP(C:C,[2]Planilla!$C:$C,[2]Planilla!$H:$H)</f>
        <v>#N/A</v>
      </c>
      <c r="H194" s="23" t="e">
        <f>_xlfn.XLOOKUP(C:C,[2]Planilla!$C:$C,[2]Planilla!$I:$I)</f>
        <v>#N/A</v>
      </c>
      <c r="I194" s="23" t="e">
        <f>_xlfn.XLOOKUP(C:C,[2]Planilla!$C:$C,[2]Planilla!$J:$J)</f>
        <v>#N/A</v>
      </c>
      <c r="J194" s="23">
        <f>_xlfn.XLOOKUP(A:A,[3]Matriz!$E:$E,[3]Matriz!$FD:$FD)</f>
        <v>0</v>
      </c>
      <c r="K194" s="23">
        <f>_xlfn.XLOOKUP(A:A,[3]Matriz!$E:$E,[3]Matriz!$FF:$FF)</f>
        <v>0</v>
      </c>
    </row>
    <row r="195" spans="1:11" x14ac:dyDescent="0.35">
      <c r="A195" s="12" t="s">
        <v>404</v>
      </c>
      <c r="B195" s="4" t="s">
        <v>183</v>
      </c>
      <c r="C195" s="4" t="s">
        <v>895</v>
      </c>
      <c r="D195" s="21">
        <f>_xlfn.XLOOKUP(C:C,'[1]Reporte Flexible de Personas - '!$B:$B,'[1]Reporte Flexible de Personas - '!$E:$E)</f>
        <v>47224</v>
      </c>
      <c r="E195" s="21">
        <f>_xlfn.XLOOKUP(C:C,'[1]Reporte Flexible de Personas - '!$B:$B,'[1]Reporte Flexible de Personas - '!$G:$G)</f>
        <v>46411</v>
      </c>
      <c r="F195" s="25">
        <f>_xlfn.XLOOKUP(C:C,'[1]Reporte Flexible de Personas - '!$B:$B,'[1]Reporte Flexible de Personas - '!$I:$I)</f>
        <v>47071</v>
      </c>
      <c r="G195" s="23">
        <f>_xlfn.XLOOKUP(C:C,[2]Planilla!$C:$C,[2]Planilla!$H:$H)</f>
        <v>47224</v>
      </c>
      <c r="H195" s="23">
        <f>_xlfn.XLOOKUP(C:C,[2]Planilla!$C:$C,[2]Planilla!$I:$I)</f>
        <v>46358</v>
      </c>
      <c r="I195" s="23">
        <f>_xlfn.XLOOKUP(C:C,[2]Planilla!$C:$C,[2]Planilla!$J:$J)</f>
        <v>47216</v>
      </c>
      <c r="J195" s="23">
        <f>_xlfn.XLOOKUP(A:A,[3]Matriz!$E:$E,[3]Matriz!$FD:$FD)</f>
        <v>46388</v>
      </c>
      <c r="K195" s="23">
        <f>_xlfn.XLOOKUP(A:A,[3]Matriz!$E:$E,[3]Matriz!$FF:$FF)</f>
        <v>0</v>
      </c>
    </row>
    <row r="196" spans="1:11" x14ac:dyDescent="0.35">
      <c r="A196" s="12" t="s">
        <v>392</v>
      </c>
      <c r="B196" s="1" t="s">
        <v>138</v>
      </c>
      <c r="C196" s="1" t="s">
        <v>896</v>
      </c>
      <c r="D196" s="21">
        <f>_xlfn.XLOOKUP(C:C,'[1]Reporte Flexible de Personas - '!$B:$B,'[1]Reporte Flexible de Personas - '!$E:$E)</f>
        <v>46330</v>
      </c>
      <c r="E196" s="21">
        <f>_xlfn.XLOOKUP(C:C,'[1]Reporte Flexible de Personas - '!$B:$B,'[1]Reporte Flexible de Personas - '!$G:$G)</f>
        <v>46761</v>
      </c>
      <c r="F196" s="25">
        <f>_xlfn.XLOOKUP(C:C,'[1]Reporte Flexible de Personas - '!$B:$B,'[1]Reporte Flexible de Personas - '!$I:$I)</f>
        <v>47537</v>
      </c>
      <c r="G196" s="23">
        <f>_xlfn.XLOOKUP(C:C,[2]Planilla!$C:$C,[2]Planilla!$H:$H)</f>
        <v>46330</v>
      </c>
      <c r="H196" s="23">
        <f>_xlfn.XLOOKUP(C:C,[2]Planilla!$C:$C,[2]Planilla!$I:$I)</f>
        <v>46330</v>
      </c>
      <c r="I196" s="23">
        <f>_xlfn.XLOOKUP(C:C,[2]Planilla!$C:$C,[2]Planilla!$J:$J)</f>
        <v>47352</v>
      </c>
      <c r="J196" s="23">
        <f>_xlfn.XLOOKUP(A:A,[3]Matriz!$E:$E,[3]Matriz!$FD:$FD)</f>
        <v>0</v>
      </c>
      <c r="K196" s="23">
        <f>_xlfn.XLOOKUP(A:A,[3]Matriz!$E:$E,[3]Matriz!$FF:$FF)</f>
        <v>0</v>
      </c>
    </row>
    <row r="197" spans="1:11" x14ac:dyDescent="0.35">
      <c r="A197" s="12" t="s">
        <v>432</v>
      </c>
      <c r="B197" s="1" t="s">
        <v>184</v>
      </c>
      <c r="C197" s="1" t="s">
        <v>897</v>
      </c>
      <c r="D197" s="21">
        <f>_xlfn.XLOOKUP(C:C,'[1]Reporte Flexible de Personas - '!$B:$B,'[1]Reporte Flexible de Personas - '!$E:$E)</f>
        <v>46214</v>
      </c>
      <c r="E197" s="21">
        <f>_xlfn.XLOOKUP(C:C,'[1]Reporte Flexible de Personas - '!$B:$B,'[1]Reporte Flexible de Personas - '!$G:$G)</f>
        <v>47196</v>
      </c>
      <c r="F197" s="25">
        <f>_xlfn.XLOOKUP(C:C,'[1]Reporte Flexible de Personas - '!$B:$B,'[1]Reporte Flexible de Personas - '!$I:$I)</f>
        <v>47008</v>
      </c>
      <c r="G197" s="23" t="e">
        <f>_xlfn.XLOOKUP(C:C,[2]Planilla!$C:$C,[2]Planilla!$H:$H)</f>
        <v>#N/A</v>
      </c>
      <c r="H197" s="23" t="e">
        <f>_xlfn.XLOOKUP(C:C,[2]Planilla!$C:$C,[2]Planilla!$I:$I)</f>
        <v>#N/A</v>
      </c>
      <c r="I197" s="23" t="e">
        <f>_xlfn.XLOOKUP(C:C,[2]Planilla!$C:$C,[2]Planilla!$J:$J)</f>
        <v>#N/A</v>
      </c>
      <c r="J197" s="23">
        <f>_xlfn.XLOOKUP(A:A,[3]Matriz!$E:$E,[3]Matriz!$FD:$FD)</f>
        <v>0</v>
      </c>
      <c r="K197" s="23">
        <f>_xlfn.XLOOKUP(A:A,[3]Matriz!$E:$E,[3]Matriz!$FF:$FF)</f>
        <v>46388</v>
      </c>
    </row>
    <row r="198" spans="1:11" x14ac:dyDescent="0.35">
      <c r="A198" s="12" t="s">
        <v>275</v>
      </c>
      <c r="B198" s="1" t="s">
        <v>222</v>
      </c>
      <c r="C198" s="1" t="s">
        <v>898</v>
      </c>
      <c r="D198" s="21">
        <f>_xlfn.XLOOKUP(C:C,'[1]Reporte Flexible de Personas - '!$B:$B,'[1]Reporte Flexible de Personas - '!$E:$E)</f>
        <v>46946</v>
      </c>
      <c r="E198" s="21">
        <f>_xlfn.XLOOKUP(C:C,'[1]Reporte Flexible de Personas - '!$B:$B,'[1]Reporte Flexible de Personas - '!$G:$G)</f>
        <v>46844</v>
      </c>
      <c r="F198" s="25">
        <f>_xlfn.XLOOKUP(C:C,'[1]Reporte Flexible de Personas - '!$B:$B,'[1]Reporte Flexible de Personas - '!$I:$I)</f>
        <v>47006</v>
      </c>
      <c r="G198" s="23">
        <f>_xlfn.XLOOKUP(C:C,[2]Planilla!$C:$C,[2]Planilla!$H:$H)</f>
        <v>46580</v>
      </c>
      <c r="H198" s="23">
        <f>_xlfn.XLOOKUP(C:C,[2]Planilla!$C:$C,[2]Planilla!$I:$I)</f>
        <v>46580</v>
      </c>
      <c r="I198" s="23">
        <f>_xlfn.XLOOKUP(C:C,[2]Planilla!$C:$C,[2]Planilla!$J:$J)</f>
        <v>46064</v>
      </c>
      <c r="J198" s="23">
        <f>_xlfn.XLOOKUP(A:A,[3]Matriz!$E:$E,[3]Matriz!$FD:$FD)</f>
        <v>0</v>
      </c>
      <c r="K198" s="23">
        <f>_xlfn.XLOOKUP(A:A,[3]Matriz!$E:$E,[3]Matriz!$FF:$FF)</f>
        <v>0</v>
      </c>
    </row>
    <row r="199" spans="1:11" x14ac:dyDescent="0.35">
      <c r="A199" s="12" t="s">
        <v>496</v>
      </c>
      <c r="B199" s="1" t="s">
        <v>114</v>
      </c>
      <c r="C199" s="1" t="s">
        <v>899</v>
      </c>
      <c r="D199" s="21">
        <f>_xlfn.XLOOKUP(C:C,'[1]Reporte Flexible de Personas - '!$B:$B,'[1]Reporte Flexible de Personas - '!$E:$E)</f>
        <v>47612</v>
      </c>
      <c r="E199" s="21">
        <f>_xlfn.XLOOKUP(C:C,'[1]Reporte Flexible de Personas - '!$B:$B,'[1]Reporte Flexible de Personas - '!$G:$G)</f>
        <v>46340</v>
      </c>
      <c r="F199" s="25">
        <f>_xlfn.XLOOKUP(C:C,'[1]Reporte Flexible de Personas - '!$B:$B,'[1]Reporte Flexible de Personas - '!$I:$I)</f>
        <v>46396</v>
      </c>
      <c r="G199" s="23" t="e">
        <f>_xlfn.XLOOKUP(C:C,[2]Planilla!$C:$C,[2]Planilla!$H:$H)</f>
        <v>#N/A</v>
      </c>
      <c r="H199" s="23" t="e">
        <f>_xlfn.XLOOKUP(C:C,[2]Planilla!$C:$C,[2]Planilla!$I:$I)</f>
        <v>#N/A</v>
      </c>
      <c r="I199" s="23" t="e">
        <f>_xlfn.XLOOKUP(C:C,[2]Planilla!$C:$C,[2]Planilla!$J:$J)</f>
        <v>#N/A</v>
      </c>
      <c r="J199" s="23">
        <f>_xlfn.XLOOKUP(A:A,[3]Matriz!$E:$E,[3]Matriz!$FD:$FD)</f>
        <v>46388</v>
      </c>
      <c r="K199" s="23">
        <f>_xlfn.XLOOKUP(A:A,[3]Matriz!$E:$E,[3]Matriz!$FF:$FF)</f>
        <v>0</v>
      </c>
    </row>
    <row r="200" spans="1:11" x14ac:dyDescent="0.35">
      <c r="A200" s="12" t="s">
        <v>286</v>
      </c>
      <c r="B200" s="1" t="s">
        <v>58</v>
      </c>
      <c r="C200" s="1" t="s">
        <v>900</v>
      </c>
      <c r="D200" s="21">
        <f>_xlfn.XLOOKUP(C:C,'[1]Reporte Flexible de Personas - '!$B:$B,'[1]Reporte Flexible de Personas - '!$E:$E)</f>
        <v>49522</v>
      </c>
      <c r="E200" s="21">
        <f>_xlfn.XLOOKUP(C:C,'[1]Reporte Flexible de Personas - '!$B:$B,'[1]Reporte Flexible de Personas - '!$G:$G)</f>
        <v>46938</v>
      </c>
      <c r="F200" s="25">
        <f>_xlfn.XLOOKUP(C:C,'[1]Reporte Flexible de Personas - '!$B:$B,'[1]Reporte Flexible de Personas - '!$I:$I)</f>
        <v>47006</v>
      </c>
      <c r="G200" s="23" t="e">
        <f>_xlfn.XLOOKUP(C:C,[2]Planilla!$C:$C,[2]Planilla!$H:$H)</f>
        <v>#N/A</v>
      </c>
      <c r="H200" s="23" t="e">
        <f>_xlfn.XLOOKUP(C:C,[2]Planilla!$C:$C,[2]Planilla!$I:$I)</f>
        <v>#N/A</v>
      </c>
      <c r="I200" s="23" t="e">
        <f>_xlfn.XLOOKUP(C:C,[2]Planilla!$C:$C,[2]Planilla!$J:$J)</f>
        <v>#N/A</v>
      </c>
      <c r="J200" s="23">
        <f>_xlfn.XLOOKUP(A:A,[3]Matriz!$E:$E,[3]Matriz!$FD:$FD)</f>
        <v>0</v>
      </c>
      <c r="K200" s="23">
        <f>_xlfn.XLOOKUP(A:A,[3]Matriz!$E:$E,[3]Matriz!$FF:$FF)</f>
        <v>0</v>
      </c>
    </row>
    <row r="201" spans="1:11" x14ac:dyDescent="0.35">
      <c r="A201" s="12" t="s">
        <v>425</v>
      </c>
      <c r="B201" s="1" t="s">
        <v>185</v>
      </c>
      <c r="C201" s="1" t="s">
        <v>901</v>
      </c>
      <c r="D201" s="21">
        <f>_xlfn.XLOOKUP(C:C,'[1]Reporte Flexible de Personas - '!$B:$B,'[1]Reporte Flexible de Personas - '!$E:$E)</f>
        <v>49592</v>
      </c>
      <c r="E201" s="21">
        <f>_xlfn.XLOOKUP(C:C,'[1]Reporte Flexible de Personas - '!$B:$B,'[1]Reporte Flexible de Personas - '!$G:$G)</f>
        <v>46425</v>
      </c>
      <c r="F201" s="25">
        <f>_xlfn.XLOOKUP(C:C,'[1]Reporte Flexible de Personas - '!$B:$B,'[1]Reporte Flexible de Personas - '!$I:$I)</f>
        <v>47085</v>
      </c>
      <c r="G201" s="23">
        <f>_xlfn.XLOOKUP(C:C,[2]Planilla!$C:$C,[2]Planilla!$H:$H)</f>
        <v>46670</v>
      </c>
      <c r="H201" s="23">
        <f>_xlfn.XLOOKUP(C:C,[2]Planilla!$C:$C,[2]Planilla!$I:$I)</f>
        <v>46670</v>
      </c>
      <c r="I201" s="23">
        <f>_xlfn.XLOOKUP(C:C,[2]Planilla!$C:$C,[2]Planilla!$J:$J)</f>
        <v>47308</v>
      </c>
      <c r="J201" s="23">
        <f>_xlfn.XLOOKUP(A:A,[3]Matriz!$E:$E,[3]Matriz!$FD:$FD)</f>
        <v>0</v>
      </c>
      <c r="K201" s="23">
        <f>_xlfn.XLOOKUP(A:A,[3]Matriz!$E:$E,[3]Matriz!$FF:$FF)</f>
        <v>0</v>
      </c>
    </row>
    <row r="202" spans="1:11" x14ac:dyDescent="0.35">
      <c r="A202" s="12" t="s">
        <v>465</v>
      </c>
      <c r="B202" s="1" t="s">
        <v>186</v>
      </c>
      <c r="C202" s="1" t="s">
        <v>902</v>
      </c>
      <c r="D202" s="21">
        <f>_xlfn.XLOOKUP(C:C,'[1]Reporte Flexible de Personas - '!$B:$B,'[1]Reporte Flexible de Personas - '!$E:$E)</f>
        <v>48254</v>
      </c>
      <c r="E202" s="21">
        <f>_xlfn.XLOOKUP(C:C,'[1]Reporte Flexible de Personas - '!$B:$B,'[1]Reporte Flexible de Personas - '!$G:$G)</f>
        <v>46328</v>
      </c>
      <c r="F202" s="25">
        <f>_xlfn.XLOOKUP(C:C,'[1]Reporte Flexible de Personas - '!$B:$B,'[1]Reporte Flexible de Personas - '!$I:$I)</f>
        <v>46365</v>
      </c>
      <c r="G202" s="23" t="e">
        <f>_xlfn.XLOOKUP(C:C,[2]Planilla!$C:$C,[2]Planilla!$H:$H)</f>
        <v>#N/A</v>
      </c>
      <c r="H202" s="23" t="e">
        <f>_xlfn.XLOOKUP(C:C,[2]Planilla!$C:$C,[2]Planilla!$I:$I)</f>
        <v>#N/A</v>
      </c>
      <c r="I202" s="23" t="e">
        <f>_xlfn.XLOOKUP(C:C,[2]Planilla!$C:$C,[2]Planilla!$J:$J)</f>
        <v>#N/A</v>
      </c>
      <c r="J202" s="23">
        <f>_xlfn.XLOOKUP(A:A,[3]Matriz!$E:$E,[3]Matriz!$FD:$FD)</f>
        <v>0</v>
      </c>
      <c r="K202" s="23">
        <f>_xlfn.XLOOKUP(A:A,[3]Matriz!$E:$E,[3]Matriz!$FF:$FF)</f>
        <v>0</v>
      </c>
    </row>
    <row r="203" spans="1:11" x14ac:dyDescent="0.35">
      <c r="A203" s="12" t="s">
        <v>417</v>
      </c>
      <c r="B203" s="1" t="s">
        <v>115</v>
      </c>
      <c r="C203" s="1" t="s">
        <v>903</v>
      </c>
      <c r="D203" s="21">
        <f>_xlfn.XLOOKUP(C:C,'[1]Reporte Flexible de Personas - '!$B:$B,'[1]Reporte Flexible de Personas - '!$E:$E)</f>
        <v>47136</v>
      </c>
      <c r="E203" s="21">
        <f>_xlfn.XLOOKUP(C:C,'[1]Reporte Flexible de Personas - '!$B:$B,'[1]Reporte Flexible de Personas - '!$G:$G)</f>
        <v>46447</v>
      </c>
      <c r="F203" s="25">
        <f>_xlfn.XLOOKUP(C:C,'[1]Reporte Flexible de Personas - '!$B:$B,'[1]Reporte Flexible de Personas - '!$I:$I)</f>
        <v>46485</v>
      </c>
      <c r="G203" s="23" t="e">
        <f>_xlfn.XLOOKUP(C:C,[2]Planilla!$C:$C,[2]Planilla!$H:$H)</f>
        <v>#N/A</v>
      </c>
      <c r="H203" s="23" t="e">
        <f>_xlfn.XLOOKUP(C:C,[2]Planilla!$C:$C,[2]Planilla!$I:$I)</f>
        <v>#N/A</v>
      </c>
      <c r="I203" s="23" t="e">
        <f>_xlfn.XLOOKUP(C:C,[2]Planilla!$C:$C,[2]Planilla!$J:$J)</f>
        <v>#N/A</v>
      </c>
      <c r="J203" s="23">
        <f>_xlfn.XLOOKUP(A:A,[3]Matriz!$E:$E,[3]Matriz!$FD:$FD)</f>
        <v>0</v>
      </c>
      <c r="K203" s="23">
        <f>_xlfn.XLOOKUP(A:A,[3]Matriz!$E:$E,[3]Matriz!$FF:$FF)</f>
        <v>0</v>
      </c>
    </row>
    <row r="204" spans="1:11" x14ac:dyDescent="0.35">
      <c r="A204" s="12" t="s">
        <v>544</v>
      </c>
      <c r="B204" s="1" t="s">
        <v>545</v>
      </c>
      <c r="C204" s="1" t="s">
        <v>904</v>
      </c>
      <c r="D204" s="21" t="e">
        <f>_xlfn.XLOOKUP(C:C,'[1]Reporte Flexible de Personas - '!$B:$B,'[1]Reporte Flexible de Personas - '!$E:$E)</f>
        <v>#N/A</v>
      </c>
      <c r="E204" s="21" t="e">
        <f>_xlfn.XLOOKUP(C:C,'[1]Reporte Flexible de Personas - '!$B:$B,'[1]Reporte Flexible de Personas - '!$G:$G)</f>
        <v>#N/A</v>
      </c>
      <c r="F204" s="25" t="e">
        <f>_xlfn.XLOOKUP(C:C,'[1]Reporte Flexible de Personas - '!$B:$B,'[1]Reporte Flexible de Personas - '!$I:$I)</f>
        <v>#N/A</v>
      </c>
      <c r="G204" s="23" t="e">
        <f>_xlfn.XLOOKUP(C:C,[2]Planilla!$C:$C,[2]Planilla!$H:$H)</f>
        <v>#N/A</v>
      </c>
      <c r="H204" s="23" t="e">
        <f>_xlfn.XLOOKUP(C:C,[2]Planilla!$C:$C,[2]Planilla!$I:$I)</f>
        <v>#N/A</v>
      </c>
      <c r="I204" s="23" t="e">
        <f>_xlfn.XLOOKUP(C:C,[2]Planilla!$C:$C,[2]Planilla!$J:$J)</f>
        <v>#N/A</v>
      </c>
      <c r="J204" s="23">
        <f>_xlfn.XLOOKUP(A:A,[3]Matriz!$E:$E,[3]Matriz!$FD:$FD)</f>
        <v>0</v>
      </c>
      <c r="K204" s="23">
        <f>_xlfn.XLOOKUP(A:A,[3]Matriz!$E:$E,[3]Matriz!$FF:$FF)</f>
        <v>0</v>
      </c>
    </row>
    <row r="205" spans="1:11" x14ac:dyDescent="0.35">
      <c r="A205" s="14" t="s">
        <v>459</v>
      </c>
      <c r="B205" s="3" t="s">
        <v>59</v>
      </c>
      <c r="C205" s="3" t="s">
        <v>905</v>
      </c>
      <c r="D205" s="21">
        <f>_xlfn.XLOOKUP(C:C,'[1]Reporte Flexible de Personas - '!$B:$B,'[1]Reporte Flexible de Personas - '!$E:$E)</f>
        <v>46723</v>
      </c>
      <c r="E205" s="21">
        <f>_xlfn.XLOOKUP(C:C,'[1]Reporte Flexible de Personas - '!$B:$B,'[1]Reporte Flexible de Personas - '!$G:$G)</f>
        <v>46317</v>
      </c>
      <c r="F205" s="25">
        <f>_xlfn.XLOOKUP(C:C,'[1]Reporte Flexible de Personas - '!$B:$B,'[1]Reporte Flexible de Personas - '!$I:$I)</f>
        <v>46328</v>
      </c>
      <c r="G205" s="23" t="e">
        <f>_xlfn.XLOOKUP(C:C,[2]Planilla!$C:$C,[2]Planilla!$H:$H)</f>
        <v>#N/A</v>
      </c>
      <c r="H205" s="23" t="e">
        <f>_xlfn.XLOOKUP(C:C,[2]Planilla!$C:$C,[2]Planilla!$I:$I)</f>
        <v>#N/A</v>
      </c>
      <c r="I205" s="23" t="e">
        <f>_xlfn.XLOOKUP(C:C,[2]Planilla!$C:$C,[2]Planilla!$J:$J)</f>
        <v>#N/A</v>
      </c>
      <c r="J205" s="23">
        <f>_xlfn.XLOOKUP(A:A,[3]Matriz!$E:$E,[3]Matriz!$FD:$FD)</f>
        <v>0</v>
      </c>
      <c r="K205" s="23">
        <f>_xlfn.XLOOKUP(A:A,[3]Matriz!$E:$E,[3]Matriz!$FF:$FF)</f>
        <v>0</v>
      </c>
    </row>
    <row r="206" spans="1:11" x14ac:dyDescent="0.35">
      <c r="A206" s="12" t="s">
        <v>387</v>
      </c>
      <c r="B206" s="1" t="s">
        <v>116</v>
      </c>
      <c r="C206" s="1" t="s">
        <v>906</v>
      </c>
      <c r="D206" s="21">
        <f>_xlfn.XLOOKUP(C:C,'[1]Reporte Flexible de Personas - '!$B:$B,'[1]Reporte Flexible de Personas - '!$E:$E)</f>
        <v>47233</v>
      </c>
      <c r="E206" s="21">
        <f>_xlfn.XLOOKUP(C:C,'[1]Reporte Flexible de Personas - '!$B:$B,'[1]Reporte Flexible de Personas - '!$G:$G)</f>
        <v>46871</v>
      </c>
      <c r="F206" s="25">
        <f>_xlfn.XLOOKUP(C:C,'[1]Reporte Flexible de Personas - '!$B:$B,'[1]Reporte Flexible de Personas - '!$I:$I)</f>
        <v>47123</v>
      </c>
      <c r="G206" s="23" t="e">
        <f>_xlfn.XLOOKUP(C:C,[2]Planilla!$C:$C,[2]Planilla!$H:$H)</f>
        <v>#N/A</v>
      </c>
      <c r="H206" s="23" t="e">
        <f>_xlfn.XLOOKUP(C:C,[2]Planilla!$C:$C,[2]Planilla!$I:$I)</f>
        <v>#N/A</v>
      </c>
      <c r="I206" s="23" t="e">
        <f>_xlfn.XLOOKUP(C:C,[2]Planilla!$C:$C,[2]Planilla!$J:$J)</f>
        <v>#N/A</v>
      </c>
      <c r="J206" s="23">
        <f>_xlfn.XLOOKUP(A:A,[3]Matriz!$E:$E,[3]Matriz!$FD:$FD)</f>
        <v>46388</v>
      </c>
      <c r="K206" s="23">
        <f>_xlfn.XLOOKUP(A:A,[3]Matriz!$E:$E,[3]Matriz!$FF:$FF)</f>
        <v>46388</v>
      </c>
    </row>
    <row r="207" spans="1:11" x14ac:dyDescent="0.35">
      <c r="A207" s="12" t="s">
        <v>481</v>
      </c>
      <c r="B207" s="1" t="s">
        <v>223</v>
      </c>
      <c r="C207" s="1" t="s">
        <v>907</v>
      </c>
      <c r="D207" s="21">
        <f>_xlfn.XLOOKUP(C:C,'[1]Reporte Flexible de Personas - '!$B:$B,'[1]Reporte Flexible de Personas - '!$E:$E)</f>
        <v>49050</v>
      </c>
      <c r="E207" s="21">
        <f>_xlfn.XLOOKUP(C:C,'[1]Reporte Flexible de Personas - '!$B:$B,'[1]Reporte Flexible de Personas - '!$G:$G)</f>
        <v>46451</v>
      </c>
      <c r="F207" s="25">
        <f>_xlfn.XLOOKUP(C:C,'[1]Reporte Flexible de Personas - '!$B:$B,'[1]Reporte Flexible de Personas - '!$I:$I)</f>
        <v>46631</v>
      </c>
      <c r="G207" s="23">
        <f>_xlfn.XLOOKUP(C:C,[2]Planilla!$C:$C,[2]Planilla!$H:$H)</f>
        <v>46493</v>
      </c>
      <c r="H207" s="23">
        <f>_xlfn.XLOOKUP(C:C,[2]Planilla!$C:$C,[2]Planilla!$I:$I)</f>
        <v>46493</v>
      </c>
      <c r="I207" s="23">
        <f>_xlfn.XLOOKUP(C:C,[2]Planilla!$C:$C,[2]Planilla!$J:$J)</f>
        <v>46228</v>
      </c>
      <c r="J207" s="23">
        <f>_xlfn.XLOOKUP(A:A,[3]Matriz!$E:$E,[3]Matriz!$FD:$FD)</f>
        <v>0</v>
      </c>
      <c r="K207" s="23">
        <f>_xlfn.XLOOKUP(A:A,[3]Matriz!$E:$E,[3]Matriz!$FF:$FF)</f>
        <v>0</v>
      </c>
    </row>
    <row r="208" spans="1:11" x14ac:dyDescent="0.35">
      <c r="A208" s="12" t="s">
        <v>435</v>
      </c>
      <c r="B208" s="1" t="s">
        <v>117</v>
      </c>
      <c r="C208" s="1" t="s">
        <v>908</v>
      </c>
      <c r="D208" s="21">
        <f>_xlfn.XLOOKUP(C:C,'[1]Reporte Flexible de Personas - '!$B:$B,'[1]Reporte Flexible de Personas - '!$E:$E)</f>
        <v>48149</v>
      </c>
      <c r="E208" s="21">
        <f>_xlfn.XLOOKUP(C:C,'[1]Reporte Flexible de Personas - '!$B:$B,'[1]Reporte Flexible de Personas - '!$G:$G)</f>
        <v>46424</v>
      </c>
      <c r="F208" s="25">
        <f>_xlfn.XLOOKUP(C:C,'[1]Reporte Flexible de Personas - '!$B:$B,'[1]Reporte Flexible de Personas - '!$I:$I)</f>
        <v>47016</v>
      </c>
      <c r="G208" s="23">
        <f>_xlfn.XLOOKUP(C:C,[2]Planilla!$C:$C,[2]Planilla!$H:$H)</f>
        <v>46323</v>
      </c>
      <c r="H208" s="23">
        <f>_xlfn.XLOOKUP(C:C,[2]Planilla!$C:$C,[2]Planilla!$I:$I)</f>
        <v>46323</v>
      </c>
      <c r="I208" s="23">
        <f>_xlfn.XLOOKUP(C:C,[2]Planilla!$C:$C,[2]Planilla!$J:$J)</f>
        <v>46205</v>
      </c>
      <c r="J208" s="23">
        <f>_xlfn.XLOOKUP(A:A,[3]Matriz!$E:$E,[3]Matriz!$FD:$FD)</f>
        <v>0</v>
      </c>
      <c r="K208" s="23">
        <f>_xlfn.XLOOKUP(A:A,[3]Matriz!$E:$E,[3]Matriz!$FF:$FF)</f>
        <v>46388</v>
      </c>
    </row>
    <row r="209" spans="1:11" x14ac:dyDescent="0.35">
      <c r="A209" s="12" t="s">
        <v>255</v>
      </c>
      <c r="B209" s="1" t="s">
        <v>256</v>
      </c>
      <c r="C209" s="1" t="s">
        <v>909</v>
      </c>
      <c r="D209" s="21">
        <f>_xlfn.XLOOKUP(C:C,'[1]Reporte Flexible de Personas - '!$B:$B,'[1]Reporte Flexible de Personas - '!$E:$E)</f>
        <v>47754</v>
      </c>
      <c r="E209" s="21">
        <f>_xlfn.XLOOKUP(C:C,'[1]Reporte Flexible de Personas - '!$B:$B,'[1]Reporte Flexible de Personas - '!$G:$G)</f>
        <v>46600</v>
      </c>
      <c r="F209" s="25">
        <f>_xlfn.XLOOKUP(C:C,'[1]Reporte Flexible de Personas - '!$B:$B,'[1]Reporte Flexible de Personas - '!$I:$I)</f>
        <v>47570</v>
      </c>
      <c r="G209" s="23">
        <f>_xlfn.XLOOKUP(C:C,[2]Planilla!$C:$C,[2]Planilla!$H:$H)</f>
        <v>47024</v>
      </c>
      <c r="H209" s="23">
        <f>_xlfn.XLOOKUP(C:C,[2]Planilla!$C:$C,[2]Planilla!$I:$I)</f>
        <v>47024</v>
      </c>
      <c r="I209" s="23">
        <f>_xlfn.XLOOKUP(C:C,[2]Planilla!$C:$C,[2]Planilla!$J:$J)</f>
        <v>46630</v>
      </c>
      <c r="J209" s="23">
        <f>_xlfn.XLOOKUP(A:A,[3]Matriz!$E:$E,[3]Matriz!$FD:$FD)</f>
        <v>0</v>
      </c>
      <c r="K209" s="23">
        <f>_xlfn.XLOOKUP(A:A,[3]Matriz!$E:$E,[3]Matriz!$FF:$FF)</f>
        <v>0</v>
      </c>
    </row>
    <row r="210" spans="1:11" x14ac:dyDescent="0.35">
      <c r="A210" s="12" t="s">
        <v>316</v>
      </c>
      <c r="B210" s="1" t="s">
        <v>60</v>
      </c>
      <c r="C210" s="1" t="s">
        <v>910</v>
      </c>
      <c r="D210" s="21">
        <f>_xlfn.XLOOKUP(C:C,'[1]Reporte Flexible de Personas - '!$B:$B,'[1]Reporte Flexible de Personas - '!$E:$E)</f>
        <v>46754</v>
      </c>
      <c r="E210" s="21">
        <f>_xlfn.XLOOKUP(C:C,'[1]Reporte Flexible de Personas - '!$B:$B,'[1]Reporte Flexible de Personas - '!$G:$G)</f>
        <v>46210</v>
      </c>
      <c r="F210" s="25">
        <f>_xlfn.XLOOKUP(C:C,'[1]Reporte Flexible de Personas - '!$B:$B,'[1]Reporte Flexible de Personas - '!$I:$I)</f>
        <v>47342</v>
      </c>
      <c r="G210" s="23" t="e">
        <f>_xlfn.XLOOKUP(C:C,[2]Planilla!$C:$C,[2]Planilla!$H:$H)</f>
        <v>#N/A</v>
      </c>
      <c r="H210" s="23" t="e">
        <f>_xlfn.XLOOKUP(C:C,[2]Planilla!$C:$C,[2]Planilla!$I:$I)</f>
        <v>#N/A</v>
      </c>
      <c r="I210" s="23" t="e">
        <f>_xlfn.XLOOKUP(C:C,[2]Planilla!$C:$C,[2]Planilla!$J:$J)</f>
        <v>#N/A</v>
      </c>
      <c r="J210" s="23">
        <f>_xlfn.XLOOKUP(A:A,[3]Matriz!$E:$E,[3]Matriz!$FD:$FD)</f>
        <v>0</v>
      </c>
      <c r="K210" s="23">
        <f>_xlfn.XLOOKUP(A:A,[3]Matriz!$E:$E,[3]Matriz!$FF:$FF)</f>
        <v>0</v>
      </c>
    </row>
    <row r="211" spans="1:11" x14ac:dyDescent="0.35">
      <c r="A211" s="12" t="s">
        <v>443</v>
      </c>
      <c r="B211" s="1" t="s">
        <v>187</v>
      </c>
      <c r="C211" s="1" t="s">
        <v>911</v>
      </c>
      <c r="D211" s="21">
        <f>_xlfn.XLOOKUP(C:C,'[1]Reporte Flexible de Personas - '!$B:$B,'[1]Reporte Flexible de Personas - '!$E:$E)</f>
        <v>47896</v>
      </c>
      <c r="E211" s="21">
        <f>_xlfn.XLOOKUP(C:C,'[1]Reporte Flexible de Personas - '!$B:$B,'[1]Reporte Flexible de Personas - '!$G:$G)</f>
        <v>46577</v>
      </c>
      <c r="F211" s="25">
        <f>_xlfn.XLOOKUP(C:C,'[1]Reporte Flexible de Personas - '!$B:$B,'[1]Reporte Flexible de Personas - '!$I:$I)</f>
        <v>47003</v>
      </c>
      <c r="G211" s="23" t="e">
        <f>_xlfn.XLOOKUP(C:C,[2]Planilla!$C:$C,[2]Planilla!$H:$H)</f>
        <v>#N/A</v>
      </c>
      <c r="H211" s="23" t="e">
        <f>_xlfn.XLOOKUP(C:C,[2]Planilla!$C:$C,[2]Planilla!$I:$I)</f>
        <v>#N/A</v>
      </c>
      <c r="I211" s="23" t="e">
        <f>_xlfn.XLOOKUP(C:C,[2]Planilla!$C:$C,[2]Planilla!$J:$J)</f>
        <v>#N/A</v>
      </c>
      <c r="J211" s="23">
        <f>_xlfn.XLOOKUP(A:A,[3]Matriz!$E:$E,[3]Matriz!$FD:$FD)</f>
        <v>0</v>
      </c>
      <c r="K211" s="23">
        <f>_xlfn.XLOOKUP(A:A,[3]Matriz!$E:$E,[3]Matriz!$FF:$FF)</f>
        <v>0</v>
      </c>
    </row>
    <row r="212" spans="1:11" x14ac:dyDescent="0.35">
      <c r="A212" s="12" t="s">
        <v>471</v>
      </c>
      <c r="B212" s="1" t="s">
        <v>224</v>
      </c>
      <c r="C212" s="1" t="s">
        <v>912</v>
      </c>
      <c r="D212" s="21">
        <f>_xlfn.XLOOKUP(C:C,'[1]Reporte Flexible de Personas - '!$B:$B,'[1]Reporte Flexible de Personas - '!$E:$E)</f>
        <v>48846</v>
      </c>
      <c r="E212" s="21">
        <f>_xlfn.XLOOKUP(C:C,'[1]Reporte Flexible de Personas - '!$B:$B,'[1]Reporte Flexible de Personas - '!$G:$G)</f>
        <v>46760</v>
      </c>
      <c r="F212" s="25">
        <f>_xlfn.XLOOKUP(C:C,'[1]Reporte Flexible de Personas - '!$B:$B,'[1]Reporte Flexible de Personas - '!$I:$I)</f>
        <v>46633</v>
      </c>
      <c r="G212" s="23" t="e">
        <f>_xlfn.XLOOKUP(C:C,[2]Planilla!$C:$C,[2]Planilla!$H:$H)</f>
        <v>#N/A</v>
      </c>
      <c r="H212" s="23" t="e">
        <f>_xlfn.XLOOKUP(C:C,[2]Planilla!$C:$C,[2]Planilla!$I:$I)</f>
        <v>#N/A</v>
      </c>
      <c r="I212" s="23" t="e">
        <f>_xlfn.XLOOKUP(C:C,[2]Planilla!$C:$C,[2]Planilla!$J:$J)</f>
        <v>#N/A</v>
      </c>
      <c r="J212" s="23">
        <f>_xlfn.XLOOKUP(A:A,[3]Matriz!$E:$E,[3]Matriz!$FD:$FD)</f>
        <v>0</v>
      </c>
      <c r="K212" s="23">
        <f>_xlfn.XLOOKUP(A:A,[3]Matriz!$E:$E,[3]Matriz!$FF:$FF)</f>
        <v>0</v>
      </c>
    </row>
    <row r="213" spans="1:11" x14ac:dyDescent="0.35">
      <c r="A213" s="12" t="s">
        <v>393</v>
      </c>
      <c r="B213" s="1" t="s">
        <v>142</v>
      </c>
      <c r="C213" s="1" t="s">
        <v>913</v>
      </c>
      <c r="D213" s="21">
        <f>_xlfn.XLOOKUP(C:C,'[1]Reporte Flexible de Personas - '!$B:$B,'[1]Reporte Flexible de Personas - '!$E:$E)</f>
        <v>48310</v>
      </c>
      <c r="E213" s="21">
        <f>_xlfn.XLOOKUP(C:C,'[1]Reporte Flexible de Personas - '!$B:$B,'[1]Reporte Flexible de Personas - '!$G:$G)</f>
        <v>46395</v>
      </c>
      <c r="F213" s="25">
        <f>_xlfn.XLOOKUP(C:C,'[1]Reporte Flexible de Personas - '!$B:$B,'[1]Reporte Flexible de Personas - '!$I:$I)</f>
        <v>47552</v>
      </c>
      <c r="G213" s="23">
        <f>_xlfn.XLOOKUP(C:C,[2]Planilla!$C:$C,[2]Planilla!$H:$H)</f>
        <v>48310</v>
      </c>
      <c r="H213" s="23">
        <f>_xlfn.XLOOKUP(C:C,[2]Planilla!$C:$C,[2]Planilla!$I:$I)</f>
        <v>46823</v>
      </c>
      <c r="I213" s="23">
        <f>_xlfn.XLOOKUP(C:C,[2]Planilla!$C:$C,[2]Planilla!$J:$J)</f>
        <v>47561</v>
      </c>
      <c r="J213" s="23">
        <f>_xlfn.XLOOKUP(A:A,[3]Matriz!$E:$E,[3]Matriz!$FD:$FD)</f>
        <v>0</v>
      </c>
      <c r="K213" s="23">
        <f>_xlfn.XLOOKUP(A:A,[3]Matriz!$E:$E,[3]Matriz!$FF:$FF)</f>
        <v>0</v>
      </c>
    </row>
    <row r="214" spans="1:11" x14ac:dyDescent="0.35">
      <c r="A214" s="12" t="s">
        <v>268</v>
      </c>
      <c r="B214" s="1" t="s">
        <v>27</v>
      </c>
      <c r="C214" s="1" t="s">
        <v>914</v>
      </c>
      <c r="D214" s="21">
        <f>_xlfn.XLOOKUP(C:C,'[1]Reporte Flexible de Personas - '!$B:$B,'[1]Reporte Flexible de Personas - '!$E:$E)</f>
        <v>46723</v>
      </c>
      <c r="E214" s="21">
        <f>_xlfn.XLOOKUP(C:C,'[1]Reporte Flexible de Personas - '!$B:$B,'[1]Reporte Flexible de Personas - '!$G:$G)</f>
        <v>46255</v>
      </c>
      <c r="F214" s="25">
        <f>_xlfn.XLOOKUP(C:C,'[1]Reporte Flexible de Personas - '!$B:$B,'[1]Reporte Flexible de Personas - '!$I:$I)</f>
        <v>47377</v>
      </c>
      <c r="G214" s="23" t="e">
        <f>_xlfn.XLOOKUP(C:C,[2]Planilla!$C:$C,[2]Planilla!$H:$H)</f>
        <v>#N/A</v>
      </c>
      <c r="H214" s="23" t="e">
        <f>_xlfn.XLOOKUP(C:C,[2]Planilla!$C:$C,[2]Planilla!$I:$I)</f>
        <v>#N/A</v>
      </c>
      <c r="I214" s="23" t="e">
        <f>_xlfn.XLOOKUP(C:C,[2]Planilla!$C:$C,[2]Planilla!$J:$J)</f>
        <v>#N/A</v>
      </c>
      <c r="J214" s="23">
        <f>_xlfn.XLOOKUP(A:A,[3]Matriz!$E:$E,[3]Matriz!$FD:$FD)</f>
        <v>0</v>
      </c>
      <c r="K214" s="23">
        <f>_xlfn.XLOOKUP(A:A,[3]Matriz!$E:$E,[3]Matriz!$FF:$FF)</f>
        <v>0</v>
      </c>
    </row>
    <row r="215" spans="1:11" x14ac:dyDescent="0.35">
      <c r="A215" s="12" t="s">
        <v>601</v>
      </c>
      <c r="B215" s="1" t="s">
        <v>602</v>
      </c>
      <c r="C215" s="1" t="s">
        <v>915</v>
      </c>
      <c r="D215" s="21" t="e">
        <f>_xlfn.XLOOKUP(C:C,'[1]Reporte Flexible de Personas - '!$B:$B,'[1]Reporte Flexible de Personas - '!$E:$E)</f>
        <v>#N/A</v>
      </c>
      <c r="E215" s="21" t="e">
        <f>_xlfn.XLOOKUP(C:C,'[1]Reporte Flexible de Personas - '!$B:$B,'[1]Reporte Flexible de Personas - '!$G:$G)</f>
        <v>#N/A</v>
      </c>
      <c r="F215" s="25" t="e">
        <f>_xlfn.XLOOKUP(C:C,'[1]Reporte Flexible de Personas - '!$B:$B,'[1]Reporte Flexible de Personas - '!$I:$I)</f>
        <v>#N/A</v>
      </c>
      <c r="G215" s="23" t="e">
        <f>_xlfn.XLOOKUP(C:C,[2]Planilla!$C:$C,[2]Planilla!$H:$H)</f>
        <v>#N/A</v>
      </c>
      <c r="H215" s="23" t="e">
        <f>_xlfn.XLOOKUP(C:C,[2]Planilla!$C:$C,[2]Planilla!$I:$I)</f>
        <v>#N/A</v>
      </c>
      <c r="I215" s="23" t="e">
        <f>_xlfn.XLOOKUP(C:C,[2]Planilla!$C:$C,[2]Planilla!$J:$J)</f>
        <v>#N/A</v>
      </c>
      <c r="J215" s="23">
        <f>_xlfn.XLOOKUP(A:A,[3]Matriz!$E:$E,[3]Matriz!$FD:$FD)</f>
        <v>0</v>
      </c>
      <c r="K215" s="23">
        <f>_xlfn.XLOOKUP(A:A,[3]Matriz!$E:$E,[3]Matriz!$FF:$FF)</f>
        <v>0</v>
      </c>
    </row>
    <row r="216" spans="1:11" x14ac:dyDescent="0.35">
      <c r="A216" s="12" t="s">
        <v>504</v>
      </c>
      <c r="B216" s="1" t="s">
        <v>29</v>
      </c>
      <c r="C216" s="1" t="s">
        <v>916</v>
      </c>
      <c r="D216" s="21" t="e">
        <f>_xlfn.XLOOKUP(C:C,'[1]Reporte Flexible de Personas - '!$B:$B,'[1]Reporte Flexible de Personas - '!$E:$E)</f>
        <v>#N/A</v>
      </c>
      <c r="E216" s="21" t="e">
        <f>_xlfn.XLOOKUP(C:C,'[1]Reporte Flexible de Personas - '!$B:$B,'[1]Reporte Flexible de Personas - '!$G:$G)</f>
        <v>#N/A</v>
      </c>
      <c r="F216" s="25" t="e">
        <f>_xlfn.XLOOKUP(C:C,'[1]Reporte Flexible de Personas - '!$B:$B,'[1]Reporte Flexible de Personas - '!$I:$I)</f>
        <v>#N/A</v>
      </c>
      <c r="G216" s="23" t="e">
        <f>_xlfn.XLOOKUP(C:C,[2]Planilla!$C:$C,[2]Planilla!$H:$H)</f>
        <v>#N/A</v>
      </c>
      <c r="H216" s="23" t="e">
        <f>_xlfn.XLOOKUP(C:C,[2]Planilla!$C:$C,[2]Planilla!$I:$I)</f>
        <v>#N/A</v>
      </c>
      <c r="I216" s="23" t="e">
        <f>_xlfn.XLOOKUP(C:C,[2]Planilla!$C:$C,[2]Planilla!$J:$J)</f>
        <v>#N/A</v>
      </c>
      <c r="J216" s="23">
        <f>_xlfn.XLOOKUP(A:A,[3]Matriz!$E:$E,[3]Matriz!$FD:$FD)</f>
        <v>0</v>
      </c>
      <c r="K216" s="23">
        <f>_xlfn.XLOOKUP(A:A,[3]Matriz!$E:$E,[3]Matriz!$FF:$FF)</f>
        <v>0</v>
      </c>
    </row>
    <row r="217" spans="1:11" x14ac:dyDescent="0.35">
      <c r="A217" s="12" t="s">
        <v>245</v>
      </c>
      <c r="B217" s="1" t="s">
        <v>225</v>
      </c>
      <c r="C217" s="1" t="s">
        <v>917</v>
      </c>
      <c r="D217" s="21">
        <f>_xlfn.XLOOKUP(C:C,'[1]Reporte Flexible de Personas - '!$B:$B,'[1]Reporte Flexible de Personas - '!$E:$E)</f>
        <v>49819</v>
      </c>
      <c r="E217" s="21">
        <f>_xlfn.XLOOKUP(C:C,'[1]Reporte Flexible de Personas - '!$B:$B,'[1]Reporte Flexible de Personas - '!$G:$G)</f>
        <v>46453</v>
      </c>
      <c r="F217" s="25">
        <f>_xlfn.XLOOKUP(C:C,'[1]Reporte Flexible de Personas - '!$B:$B,'[1]Reporte Flexible de Personas - '!$I:$I)</f>
        <v>47119</v>
      </c>
      <c r="G217" s="23">
        <f>_xlfn.XLOOKUP(C:C,[2]Planilla!$C:$C,[2]Planilla!$H:$H)</f>
        <v>47627</v>
      </c>
      <c r="H217" s="23">
        <f>_xlfn.XLOOKUP(C:C,[2]Planilla!$C:$C,[2]Planilla!$I:$I)</f>
        <v>46166</v>
      </c>
      <c r="I217" s="23">
        <f>_xlfn.XLOOKUP(C:C,[2]Planilla!$C:$C,[2]Planilla!$J:$J)</f>
        <v>46288</v>
      </c>
      <c r="J217" s="23">
        <f>_xlfn.XLOOKUP(A:A,[3]Matriz!$E:$E,[3]Matriz!$FD:$FD)</f>
        <v>0</v>
      </c>
      <c r="K217" s="23">
        <f>_xlfn.XLOOKUP(A:A,[3]Matriz!$E:$E,[3]Matriz!$FF:$FF)</f>
        <v>0</v>
      </c>
    </row>
    <row r="218" spans="1:11" x14ac:dyDescent="0.35">
      <c r="A218" s="12" t="s">
        <v>270</v>
      </c>
      <c r="B218" s="1" t="s">
        <v>16</v>
      </c>
      <c r="C218" s="1" t="s">
        <v>918</v>
      </c>
      <c r="D218" s="21">
        <f>_xlfn.XLOOKUP(C:C,'[1]Reporte Flexible de Personas - '!$B:$B,'[1]Reporte Flexible de Personas - '!$E:$E)</f>
        <v>47800</v>
      </c>
      <c r="E218" s="21">
        <f>_xlfn.XLOOKUP(C:C,'[1]Reporte Flexible de Personas - '!$B:$B,'[1]Reporte Flexible de Personas - '!$G:$G)</f>
        <v>46920</v>
      </c>
      <c r="F218" s="25">
        <f>_xlfn.XLOOKUP(C:C,'[1]Reporte Flexible de Personas - '!$B:$B,'[1]Reporte Flexible de Personas - '!$I:$I)</f>
        <v>47102</v>
      </c>
      <c r="G218" s="23">
        <f>_xlfn.XLOOKUP(C:C,[2]Planilla!$C:$C,[2]Planilla!$H:$H)</f>
        <v>47435</v>
      </c>
      <c r="H218" s="23">
        <f>_xlfn.XLOOKUP(C:C,[2]Planilla!$C:$C,[2]Planilla!$I:$I)</f>
        <v>47435</v>
      </c>
      <c r="I218" s="23">
        <f>_xlfn.XLOOKUP(C:C,[2]Planilla!$C:$C,[2]Planilla!$J:$J)</f>
        <v>47000</v>
      </c>
      <c r="J218" s="23">
        <f>_xlfn.XLOOKUP(A:A,[3]Matriz!$E:$E,[3]Matriz!$FD:$FD)</f>
        <v>0</v>
      </c>
      <c r="K218" s="23">
        <f>_xlfn.XLOOKUP(A:A,[3]Matriz!$E:$E,[3]Matriz!$FF:$FF)</f>
        <v>0</v>
      </c>
    </row>
    <row r="219" spans="1:11" x14ac:dyDescent="0.35">
      <c r="A219" s="12" t="s">
        <v>498</v>
      </c>
      <c r="B219" s="1" t="s">
        <v>499</v>
      </c>
      <c r="C219" s="1" t="s">
        <v>919</v>
      </c>
      <c r="D219" s="21">
        <f>_xlfn.XLOOKUP(C:C,'[1]Reporte Flexible de Personas - '!$B:$B,'[1]Reporte Flexible de Personas - '!$E:$E)</f>
        <v>46937</v>
      </c>
      <c r="E219" s="21">
        <f>_xlfn.XLOOKUP(C:C,'[1]Reporte Flexible de Personas - '!$B:$B,'[1]Reporte Flexible de Personas - '!$G:$G)</f>
        <v>46836</v>
      </c>
      <c r="F219" s="25">
        <f>_xlfn.XLOOKUP(C:C,'[1]Reporte Flexible de Personas - '!$B:$B,'[1]Reporte Flexible de Personas - '!$I:$I)</f>
        <v>46961</v>
      </c>
      <c r="G219" s="23">
        <f>_xlfn.XLOOKUP(C:C,[2]Planilla!$C:$C,[2]Planilla!$H:$H)</f>
        <v>47667</v>
      </c>
      <c r="H219" s="23">
        <f>_xlfn.XLOOKUP(C:C,[2]Planilla!$C:$C,[2]Planilla!$I:$I)</f>
        <v>46330</v>
      </c>
      <c r="I219" s="23">
        <f>_xlfn.XLOOKUP(C:C,[2]Planilla!$C:$C,[2]Planilla!$J:$J)</f>
        <v>47313</v>
      </c>
      <c r="J219" s="23">
        <f>_xlfn.XLOOKUP(A:A,[3]Matriz!$E:$E,[3]Matriz!$FD:$FD)</f>
        <v>0</v>
      </c>
      <c r="K219" s="23">
        <f>_xlfn.XLOOKUP(A:A,[3]Matriz!$E:$E,[3]Matriz!$FF:$FF)</f>
        <v>0</v>
      </c>
    </row>
    <row r="220" spans="1:11" x14ac:dyDescent="0.35">
      <c r="A220" s="12" t="s">
        <v>362</v>
      </c>
      <c r="B220" s="1" t="s">
        <v>605</v>
      </c>
      <c r="C220" s="1" t="s">
        <v>920</v>
      </c>
      <c r="D220" s="21">
        <f>_xlfn.XLOOKUP(C:C,'[1]Reporte Flexible de Personas - '!$B:$B,'[1]Reporte Flexible de Personas - '!$E:$E)</f>
        <v>47377</v>
      </c>
      <c r="E220" s="21">
        <f>_xlfn.XLOOKUP(C:C,'[1]Reporte Flexible de Personas - '!$B:$B,'[1]Reporte Flexible de Personas - '!$G:$G)</f>
        <v>46457</v>
      </c>
      <c r="F220" s="25">
        <f>_xlfn.XLOOKUP(C:C,'[1]Reporte Flexible de Personas - '!$B:$B,'[1]Reporte Flexible de Personas - '!$I:$I)</f>
        <v>46512</v>
      </c>
      <c r="G220" s="23">
        <f>_xlfn.XLOOKUP(C:C,[2]Planilla!$C:$C,[2]Planilla!$H:$H)</f>
        <v>46281</v>
      </c>
      <c r="H220" s="23">
        <f>_xlfn.XLOOKUP(C:C,[2]Planilla!$C:$C,[2]Planilla!$I:$I)</f>
        <v>46206</v>
      </c>
      <c r="I220" s="23">
        <f>_xlfn.XLOOKUP(C:C,[2]Planilla!$C:$C,[2]Planilla!$J:$J)</f>
        <v>47342</v>
      </c>
      <c r="J220" s="23">
        <f>_xlfn.XLOOKUP(A:A,[3]Matriz!$E:$E,[3]Matriz!$FD:$FD)</f>
        <v>0</v>
      </c>
      <c r="K220" s="23">
        <f>_xlfn.XLOOKUP(A:A,[3]Matriz!$E:$E,[3]Matriz!$FF:$FF)</f>
        <v>0</v>
      </c>
    </row>
    <row r="221" spans="1:11" x14ac:dyDescent="0.35">
      <c r="A221" s="12" t="s">
        <v>541</v>
      </c>
      <c r="B221" s="1" t="s">
        <v>226</v>
      </c>
      <c r="C221" s="1" t="s">
        <v>921</v>
      </c>
      <c r="D221" s="21">
        <f>_xlfn.XLOOKUP(C:C,'[1]Reporte Flexible de Personas - '!$B:$B,'[1]Reporte Flexible de Personas - '!$E:$E)</f>
        <v>47129</v>
      </c>
      <c r="E221" s="21">
        <f>_xlfn.XLOOKUP(C:C,'[1]Reporte Flexible de Personas - '!$B:$B,'[1]Reporte Flexible de Personas - '!$G:$G)</f>
        <v>46470</v>
      </c>
      <c r="F221" s="25">
        <f>_xlfn.XLOOKUP(C:C,'[1]Reporte Flexible de Personas - '!$B:$B,'[1]Reporte Flexible de Personas - '!$I:$I)</f>
        <v>47073</v>
      </c>
      <c r="G221" s="23">
        <f>_xlfn.XLOOKUP(C:C,[2]Planilla!$C:$C,[2]Planilla!$H:$H)</f>
        <v>47129</v>
      </c>
      <c r="H221" s="23">
        <f>_xlfn.XLOOKUP(C:C,[2]Planilla!$C:$C,[2]Planilla!$I:$I)</f>
        <v>46403</v>
      </c>
      <c r="I221" s="23">
        <f>_xlfn.XLOOKUP(C:C,[2]Planilla!$C:$C,[2]Planilla!$J:$J)</f>
        <v>46479</v>
      </c>
      <c r="J221" s="23">
        <f>_xlfn.XLOOKUP(A:A,[3]Matriz!$E:$E,[3]Matriz!$FD:$FD)</f>
        <v>46388</v>
      </c>
      <c r="K221" s="23">
        <f>_xlfn.XLOOKUP(A:A,[3]Matriz!$E:$E,[3]Matriz!$FF:$FF)</f>
        <v>0</v>
      </c>
    </row>
    <row r="222" spans="1:11" x14ac:dyDescent="0.35">
      <c r="A222" s="12" t="s">
        <v>369</v>
      </c>
      <c r="B222" s="1" t="s">
        <v>118</v>
      </c>
      <c r="C222" s="1" t="s">
        <v>922</v>
      </c>
      <c r="D222" s="21">
        <f>_xlfn.XLOOKUP(C:C,'[1]Reporte Flexible de Personas - '!$B:$B,'[1]Reporte Flexible de Personas - '!$E:$E)</f>
        <v>48793</v>
      </c>
      <c r="E222" s="21">
        <f>_xlfn.XLOOKUP(C:C,'[1]Reporte Flexible de Personas - '!$B:$B,'[1]Reporte Flexible de Personas - '!$G:$G)</f>
        <v>46724</v>
      </c>
      <c r="F222" s="25">
        <f>_xlfn.XLOOKUP(C:C,'[1]Reporte Flexible de Personas - '!$B:$B,'[1]Reporte Flexible de Personas - '!$I:$I)</f>
        <v>47004</v>
      </c>
      <c r="G222" s="23">
        <f>_xlfn.XLOOKUP(C:C,[2]Planilla!$C:$C,[2]Planilla!$H:$H)</f>
        <v>47697</v>
      </c>
      <c r="H222" s="23">
        <f>_xlfn.XLOOKUP(C:C,[2]Planilla!$C:$C,[2]Planilla!$I:$I)</f>
        <v>46268</v>
      </c>
      <c r="I222" s="23">
        <f>_xlfn.XLOOKUP(C:C,[2]Planilla!$C:$C,[2]Planilla!$J:$J)</f>
        <v>46317</v>
      </c>
      <c r="J222" s="23">
        <f>_xlfn.XLOOKUP(A:A,[3]Matriz!$E:$E,[3]Matriz!$FD:$FD)</f>
        <v>0</v>
      </c>
      <c r="K222" s="23">
        <f>_xlfn.XLOOKUP(A:A,[3]Matriz!$E:$E,[3]Matriz!$FF:$FF)</f>
        <v>0</v>
      </c>
    </row>
    <row r="223" spans="1:11" x14ac:dyDescent="0.35">
      <c r="A223" s="12" t="s">
        <v>531</v>
      </c>
      <c r="B223" s="1" t="s">
        <v>17</v>
      </c>
      <c r="C223" s="1" t="s">
        <v>923</v>
      </c>
      <c r="D223" s="21">
        <f>_xlfn.XLOOKUP(C:C,'[1]Reporte Flexible de Personas - '!$B:$B,'[1]Reporte Flexible de Personas - '!$E:$E)</f>
        <v>46905</v>
      </c>
      <c r="E223" s="21">
        <f>_xlfn.XLOOKUP(C:C,'[1]Reporte Flexible de Personas - '!$B:$B,'[1]Reporte Flexible de Personas - '!$G:$G)</f>
        <v>46317</v>
      </c>
      <c r="F223" s="25">
        <f>_xlfn.XLOOKUP(C:C,'[1]Reporte Flexible de Personas - '!$B:$B,'[1]Reporte Flexible de Personas - '!$I:$I)</f>
        <v>47077</v>
      </c>
      <c r="G223" s="23">
        <f>_xlfn.XLOOKUP(C:C,[2]Planilla!$C:$C,[2]Planilla!$H:$H)</f>
        <v>47270</v>
      </c>
      <c r="H223" s="23">
        <f>_xlfn.XLOOKUP(C:C,[2]Planilla!$C:$C,[2]Planilla!$I:$I)</f>
        <v>47270</v>
      </c>
      <c r="I223" s="23">
        <f>_xlfn.XLOOKUP(C:C,[2]Planilla!$C:$C,[2]Planilla!$J:$J)</f>
        <v>46373</v>
      </c>
      <c r="J223" s="23">
        <f>_xlfn.XLOOKUP(A:A,[3]Matriz!$E:$E,[3]Matriz!$FD:$FD)</f>
        <v>0</v>
      </c>
      <c r="K223" s="23">
        <f>_xlfn.XLOOKUP(A:A,[3]Matriz!$E:$E,[3]Matriz!$FF:$FF)</f>
        <v>0</v>
      </c>
    </row>
    <row r="224" spans="1:11" x14ac:dyDescent="0.35">
      <c r="A224" s="14" t="s">
        <v>272</v>
      </c>
      <c r="B224" s="1" t="s">
        <v>23</v>
      </c>
      <c r="C224" s="1" t="s">
        <v>924</v>
      </c>
      <c r="D224" s="21">
        <f>_xlfn.XLOOKUP(C:C,'[1]Reporte Flexible de Personas - '!$B:$B,'[1]Reporte Flexible de Personas - '!$E:$E)</f>
        <v>46496</v>
      </c>
      <c r="E224" s="21">
        <f>_xlfn.XLOOKUP(C:C,'[1]Reporte Flexible de Personas - '!$B:$B,'[1]Reporte Flexible de Personas - '!$G:$G)</f>
        <v>47236</v>
      </c>
      <c r="F224" s="25">
        <f>_xlfn.XLOOKUP(C:C,'[1]Reporte Flexible de Personas - '!$B:$B,'[1]Reporte Flexible de Personas - '!$I:$I)</f>
        <v>47279</v>
      </c>
      <c r="G224" s="23" t="e">
        <f>_xlfn.XLOOKUP(C:C,[2]Planilla!$C:$C,[2]Planilla!$H:$H)</f>
        <v>#N/A</v>
      </c>
      <c r="H224" s="23" t="e">
        <f>_xlfn.XLOOKUP(C:C,[2]Planilla!$C:$C,[2]Planilla!$I:$I)</f>
        <v>#N/A</v>
      </c>
      <c r="I224" s="23" t="e">
        <f>_xlfn.XLOOKUP(C:C,[2]Planilla!$C:$C,[2]Planilla!$J:$J)</f>
        <v>#N/A</v>
      </c>
      <c r="J224" s="23">
        <f>_xlfn.XLOOKUP(A:A,[3]Matriz!$E:$E,[3]Matriz!$FD:$FD)</f>
        <v>0</v>
      </c>
      <c r="K224" s="23">
        <f>_xlfn.XLOOKUP(A:A,[3]Matriz!$E:$E,[3]Matriz!$FF:$FF)</f>
        <v>0</v>
      </c>
    </row>
    <row r="225" spans="1:11" x14ac:dyDescent="0.35">
      <c r="A225" s="12" t="s">
        <v>413</v>
      </c>
      <c r="B225" s="1" t="s">
        <v>79</v>
      </c>
      <c r="C225" s="1" t="s">
        <v>925</v>
      </c>
      <c r="D225" s="21">
        <f>_xlfn.XLOOKUP(C:C,'[1]Reporte Flexible de Personas - '!$B:$B,'[1]Reporte Flexible de Personas - '!$E:$E)</f>
        <v>48830</v>
      </c>
      <c r="E225" s="21">
        <f>_xlfn.XLOOKUP(C:C,'[1]Reporte Flexible de Personas - '!$B:$B,'[1]Reporte Flexible de Personas - '!$G:$G)</f>
        <v>46529</v>
      </c>
      <c r="F225" s="25">
        <f>_xlfn.XLOOKUP(C:C,'[1]Reporte Flexible de Personas - '!$B:$B,'[1]Reporte Flexible de Personas - '!$I:$I)</f>
        <v>46250</v>
      </c>
      <c r="G225" s="23" t="e">
        <f>_xlfn.XLOOKUP(C:C,[2]Planilla!$C:$C,[2]Planilla!$H:$H)</f>
        <v>#N/A</v>
      </c>
      <c r="H225" s="23" t="e">
        <f>_xlfn.XLOOKUP(C:C,[2]Planilla!$C:$C,[2]Planilla!$I:$I)</f>
        <v>#N/A</v>
      </c>
      <c r="I225" s="23" t="e">
        <f>_xlfn.XLOOKUP(C:C,[2]Planilla!$C:$C,[2]Planilla!$J:$J)</f>
        <v>#N/A</v>
      </c>
      <c r="J225" s="23">
        <f>_xlfn.XLOOKUP(A:A,[3]Matriz!$E:$E,[3]Matriz!$FD:$FD)</f>
        <v>0</v>
      </c>
      <c r="K225" s="23">
        <f>_xlfn.XLOOKUP(A:A,[3]Matriz!$E:$E,[3]Matriz!$FF:$FF)</f>
        <v>0</v>
      </c>
    </row>
    <row r="226" spans="1:11" x14ac:dyDescent="0.35">
      <c r="A226" s="12" t="s">
        <v>609</v>
      </c>
      <c r="B226" s="1" t="s">
        <v>608</v>
      </c>
      <c r="C226" s="1" t="s">
        <v>926</v>
      </c>
      <c r="D226" s="21" t="e">
        <f>_xlfn.XLOOKUP(C:C,'[1]Reporte Flexible de Personas - '!$B:$B,'[1]Reporte Flexible de Personas - '!$E:$E)</f>
        <v>#N/A</v>
      </c>
      <c r="E226" s="21" t="e">
        <f>_xlfn.XLOOKUP(C:C,'[1]Reporte Flexible de Personas - '!$B:$B,'[1]Reporte Flexible de Personas - '!$G:$G)</f>
        <v>#N/A</v>
      </c>
      <c r="F226" s="25" t="e">
        <f>_xlfn.XLOOKUP(C:C,'[1]Reporte Flexible de Personas - '!$B:$B,'[1]Reporte Flexible de Personas - '!$I:$I)</f>
        <v>#N/A</v>
      </c>
      <c r="G226" s="23" t="e">
        <f>_xlfn.XLOOKUP(C:C,[2]Planilla!$C:$C,[2]Planilla!$H:$H)</f>
        <v>#N/A</v>
      </c>
      <c r="H226" s="23" t="e">
        <f>_xlfn.XLOOKUP(C:C,[2]Planilla!$C:$C,[2]Planilla!$I:$I)</f>
        <v>#N/A</v>
      </c>
      <c r="I226" s="23" t="e">
        <f>_xlfn.XLOOKUP(C:C,[2]Planilla!$C:$C,[2]Planilla!$J:$J)</f>
        <v>#N/A</v>
      </c>
      <c r="J226" s="23">
        <f>_xlfn.XLOOKUP(A:A,[3]Matriz!$E:$E,[3]Matriz!$FD:$FD)</f>
        <v>0</v>
      </c>
      <c r="K226" s="23">
        <f>_xlfn.XLOOKUP(A:A,[3]Matriz!$E:$E,[3]Matriz!$FF:$FF)</f>
        <v>0</v>
      </c>
    </row>
    <row r="227" spans="1:11" x14ac:dyDescent="0.35">
      <c r="A227" s="12" t="s">
        <v>294</v>
      </c>
      <c r="B227" s="1" t="s">
        <v>61</v>
      </c>
      <c r="C227" s="1" t="s">
        <v>927</v>
      </c>
      <c r="D227" s="21">
        <f>_xlfn.XLOOKUP(C:C,'[1]Reporte Flexible de Personas - '!$B:$B,'[1]Reporte Flexible de Personas - '!$E:$E)</f>
        <v>47937</v>
      </c>
      <c r="E227" s="21">
        <f>_xlfn.XLOOKUP(C:C,'[1]Reporte Flexible de Personas - '!$B:$B,'[1]Reporte Flexible de Personas - '!$G:$G)</f>
        <v>46688</v>
      </c>
      <c r="F227" s="25">
        <f>_xlfn.XLOOKUP(C:C,'[1]Reporte Flexible de Personas - '!$B:$B,'[1]Reporte Flexible de Personas - '!$I:$I)</f>
        <v>47128</v>
      </c>
      <c r="G227" s="23">
        <f>_xlfn.XLOOKUP(C:C,[2]Planilla!$C:$C,[2]Planilla!$H:$H)</f>
        <v>47572</v>
      </c>
      <c r="H227" s="23">
        <f>_xlfn.XLOOKUP(C:C,[2]Planilla!$C:$C,[2]Planilla!$I:$I)</f>
        <v>47572</v>
      </c>
      <c r="I227" s="23">
        <f>_xlfn.XLOOKUP(C:C,[2]Planilla!$C:$C,[2]Planilla!$J:$J)</f>
        <v>46196</v>
      </c>
      <c r="J227" s="23">
        <f>_xlfn.XLOOKUP(A:A,[3]Matriz!$E:$E,[3]Matriz!$FD:$FD)</f>
        <v>0</v>
      </c>
      <c r="K227" s="23">
        <f>_xlfn.XLOOKUP(A:A,[3]Matriz!$E:$E,[3]Matriz!$FF:$FF)</f>
        <v>46388</v>
      </c>
    </row>
    <row r="228" spans="1:11" x14ac:dyDescent="0.35">
      <c r="A228" s="12" t="s">
        <v>356</v>
      </c>
      <c r="B228" s="1" t="s">
        <v>227</v>
      </c>
      <c r="C228" s="1" t="s">
        <v>928</v>
      </c>
      <c r="D228" s="21">
        <f>_xlfn.XLOOKUP(C:C,'[1]Reporte Flexible de Personas - '!$B:$B,'[1]Reporte Flexible de Personas - '!$E:$E)</f>
        <v>46185</v>
      </c>
      <c r="E228" s="21">
        <f>_xlfn.XLOOKUP(C:C,'[1]Reporte Flexible de Personas - '!$B:$B,'[1]Reporte Flexible de Personas - '!$G:$G)</f>
        <v>46706</v>
      </c>
      <c r="F228" s="25">
        <f>_xlfn.XLOOKUP(C:C,'[1]Reporte Flexible de Personas - '!$B:$B,'[1]Reporte Flexible de Personas - '!$I:$I)</f>
        <v>47124</v>
      </c>
      <c r="G228" s="23" t="e">
        <f>_xlfn.XLOOKUP(C:C,[2]Planilla!$C:$C,[2]Planilla!$H:$H)</f>
        <v>#N/A</v>
      </c>
      <c r="H228" s="23" t="e">
        <f>_xlfn.XLOOKUP(C:C,[2]Planilla!$C:$C,[2]Planilla!$I:$I)</f>
        <v>#N/A</v>
      </c>
      <c r="I228" s="23" t="e">
        <f>_xlfn.XLOOKUP(C:C,[2]Planilla!$C:$C,[2]Planilla!$J:$J)</f>
        <v>#N/A</v>
      </c>
      <c r="J228" s="23">
        <f>_xlfn.XLOOKUP(A:A,[3]Matriz!$E:$E,[3]Matriz!$FD:$FD)</f>
        <v>46388</v>
      </c>
      <c r="K228" s="23">
        <f>_xlfn.XLOOKUP(A:A,[3]Matriz!$E:$E,[3]Matriz!$FF:$FF)</f>
        <v>46388</v>
      </c>
    </row>
    <row r="229" spans="1:11" x14ac:dyDescent="0.35">
      <c r="A229" s="12" t="s">
        <v>244</v>
      </c>
      <c r="B229" s="1" t="s">
        <v>188</v>
      </c>
      <c r="C229" s="1" t="s">
        <v>929</v>
      </c>
      <c r="D229" s="21">
        <f>_xlfn.XLOOKUP(C:C,'[1]Reporte Flexible de Personas - '!$B:$B,'[1]Reporte Flexible de Personas - '!$E:$E)</f>
        <v>48042</v>
      </c>
      <c r="E229" s="21">
        <f>_xlfn.XLOOKUP(C:C,'[1]Reporte Flexible de Personas - '!$B:$B,'[1]Reporte Flexible de Personas - '!$G:$G)</f>
        <v>46835</v>
      </c>
      <c r="F229" s="25">
        <f>_xlfn.XLOOKUP(C:C,'[1]Reporte Flexible de Personas - '!$B:$B,'[1]Reporte Flexible de Personas - '!$I:$I)</f>
        <v>47007</v>
      </c>
      <c r="G229" s="23">
        <f>_xlfn.XLOOKUP(C:C,[2]Planilla!$C:$C,[2]Planilla!$H:$H)</f>
        <v>46581</v>
      </c>
      <c r="H229" s="23">
        <f>_xlfn.XLOOKUP(C:C,[2]Planilla!$C:$C,[2]Planilla!$I:$I)</f>
        <v>46410</v>
      </c>
      <c r="I229" s="23">
        <f>_xlfn.XLOOKUP(C:C,[2]Planilla!$C:$C,[2]Planilla!$J:$J)</f>
        <v>46520</v>
      </c>
      <c r="J229" s="23">
        <f>_xlfn.XLOOKUP(A:A,[3]Matriz!$E:$E,[3]Matriz!$FD:$FD)</f>
        <v>0</v>
      </c>
      <c r="K229" s="23">
        <f>_xlfn.XLOOKUP(A:A,[3]Matriz!$E:$E,[3]Matriz!$FF:$FF)</f>
        <v>0</v>
      </c>
    </row>
    <row r="230" spans="1:11" x14ac:dyDescent="0.35">
      <c r="A230" s="12" t="s">
        <v>304</v>
      </c>
      <c r="B230" s="1" t="s">
        <v>139</v>
      </c>
      <c r="C230" s="1" t="s">
        <v>930</v>
      </c>
      <c r="D230" s="21">
        <f>_xlfn.XLOOKUP(C:C,'[1]Reporte Flexible de Personas - '!$B:$B,'[1]Reporte Flexible de Personas - '!$E:$E)</f>
        <v>46348</v>
      </c>
      <c r="E230" s="21">
        <f>_xlfn.XLOOKUP(C:C,'[1]Reporte Flexible de Personas - '!$B:$B,'[1]Reporte Flexible de Personas - '!$G:$G)</f>
        <v>46452</v>
      </c>
      <c r="F230" s="25">
        <f>_xlfn.XLOOKUP(C:C,'[1]Reporte Flexible de Personas - '!$B:$B,'[1]Reporte Flexible de Personas - '!$I:$I)</f>
        <v>46468</v>
      </c>
      <c r="G230" s="23">
        <f>_xlfn.XLOOKUP(C:C,[2]Planilla!$C:$C,[2]Planilla!$H:$H)</f>
        <v>47809</v>
      </c>
      <c r="H230" s="23">
        <f>_xlfn.XLOOKUP(C:C,[2]Planilla!$C:$C,[2]Planilla!$I:$I)</f>
        <v>47809</v>
      </c>
      <c r="I230" s="23">
        <f>_xlfn.XLOOKUP(C:C,[2]Planilla!$C:$C,[2]Planilla!$J:$J)</f>
        <v>47170</v>
      </c>
      <c r="J230" s="23">
        <f>_xlfn.XLOOKUP(A:A,[3]Matriz!$E:$E,[3]Matriz!$FD:$FD)</f>
        <v>0</v>
      </c>
      <c r="K230" s="23">
        <f>_xlfn.XLOOKUP(A:A,[3]Matriz!$E:$E,[3]Matriz!$FF:$FF)</f>
        <v>0</v>
      </c>
    </row>
    <row r="231" spans="1:11" x14ac:dyDescent="0.35">
      <c r="A231" s="12" t="s">
        <v>331</v>
      </c>
      <c r="B231" s="4" t="s">
        <v>119</v>
      </c>
      <c r="C231" s="4" t="s">
        <v>931</v>
      </c>
      <c r="D231" s="21">
        <f>_xlfn.XLOOKUP(C:C,'[1]Reporte Flexible de Personas - '!$B:$B,'[1]Reporte Flexible de Personas - '!$E:$E)</f>
        <v>47831</v>
      </c>
      <c r="E231" s="21">
        <f>_xlfn.XLOOKUP(C:C,'[1]Reporte Flexible de Personas - '!$B:$B,'[1]Reporte Flexible de Personas - '!$G:$G)</f>
        <v>46489</v>
      </c>
      <c r="F231" s="25">
        <f>_xlfn.XLOOKUP(C:C,'[1]Reporte Flexible de Personas - '!$B:$B,'[1]Reporte Flexible de Personas - '!$I:$I)</f>
        <v>46300</v>
      </c>
      <c r="G231" s="23" t="e">
        <f>_xlfn.XLOOKUP(C:C,[2]Planilla!$C:$C,[2]Planilla!$H:$H)</f>
        <v>#N/A</v>
      </c>
      <c r="H231" s="23" t="e">
        <f>_xlfn.XLOOKUP(C:C,[2]Planilla!$C:$C,[2]Planilla!$I:$I)</f>
        <v>#N/A</v>
      </c>
      <c r="I231" s="23" t="e">
        <f>_xlfn.XLOOKUP(C:C,[2]Planilla!$C:$C,[2]Planilla!$J:$J)</f>
        <v>#N/A</v>
      </c>
      <c r="J231" s="23">
        <f>_xlfn.XLOOKUP(A:A,[3]Matriz!$E:$E,[3]Matriz!$FD:$FD)</f>
        <v>0</v>
      </c>
      <c r="K231" s="23">
        <f>_xlfn.XLOOKUP(A:A,[3]Matriz!$E:$E,[3]Matriz!$FF:$FF)</f>
        <v>0</v>
      </c>
    </row>
    <row r="232" spans="1:11" x14ac:dyDescent="0.35">
      <c r="A232" s="12" t="s">
        <v>409</v>
      </c>
      <c r="B232" s="1" t="s">
        <v>62</v>
      </c>
      <c r="C232" s="1" t="s">
        <v>932</v>
      </c>
      <c r="D232" s="21">
        <f>_xlfn.XLOOKUP(C:C,'[1]Reporte Flexible de Personas - '!$B:$B,'[1]Reporte Flexible de Personas - '!$E:$E)</f>
        <v>46907</v>
      </c>
      <c r="E232" s="21">
        <f>_xlfn.XLOOKUP(C:C,'[1]Reporte Flexible de Personas - '!$B:$B,'[1]Reporte Flexible de Personas - '!$G:$G)</f>
        <v>46571</v>
      </c>
      <c r="F232" s="25">
        <f>_xlfn.XLOOKUP(C:C,'[1]Reporte Flexible de Personas - '!$B:$B,'[1]Reporte Flexible de Personas - '!$I:$I)</f>
        <v>46608</v>
      </c>
      <c r="G232" s="23" t="e">
        <f>_xlfn.XLOOKUP(C:C,[2]Planilla!$C:$C,[2]Planilla!$H:$H)</f>
        <v>#N/A</v>
      </c>
      <c r="H232" s="23" t="e">
        <f>_xlfn.XLOOKUP(C:C,[2]Planilla!$C:$C,[2]Planilla!$I:$I)</f>
        <v>#N/A</v>
      </c>
      <c r="I232" s="23" t="e">
        <f>_xlfn.XLOOKUP(C:C,[2]Planilla!$C:$C,[2]Planilla!$J:$J)</f>
        <v>#N/A</v>
      </c>
      <c r="J232" s="23">
        <f>_xlfn.XLOOKUP(A:A,[3]Matriz!$E:$E,[3]Matriz!$FD:$FD)</f>
        <v>0</v>
      </c>
      <c r="K232" s="23">
        <f>_xlfn.XLOOKUP(A:A,[3]Matriz!$E:$E,[3]Matriz!$FF:$FF)</f>
        <v>0</v>
      </c>
    </row>
    <row r="233" spans="1:11" x14ac:dyDescent="0.35">
      <c r="A233" s="12" t="s">
        <v>349</v>
      </c>
      <c r="B233" s="1" t="s">
        <v>140</v>
      </c>
      <c r="C233" s="1" t="s">
        <v>933</v>
      </c>
      <c r="D233" s="21">
        <f>_xlfn.XLOOKUP(C:C,'[1]Reporte Flexible de Personas - '!$B:$B,'[1]Reporte Flexible de Personas - '!$E:$E)</f>
        <v>47639</v>
      </c>
      <c r="E233" s="21">
        <f>_xlfn.XLOOKUP(C:C,'[1]Reporte Flexible de Personas - '!$B:$B,'[1]Reporte Flexible de Personas - '!$G:$G)</f>
        <v>46578</v>
      </c>
      <c r="F233" s="25">
        <f>_xlfn.XLOOKUP(C:C,'[1]Reporte Flexible de Personas - '!$B:$B,'[1]Reporte Flexible de Personas - '!$I:$I)</f>
        <v>46596</v>
      </c>
      <c r="G233" s="23">
        <f>_xlfn.XLOOKUP(C:C,[2]Planilla!$C:$C,[2]Planilla!$H:$H)</f>
        <v>46178</v>
      </c>
      <c r="H233" s="23">
        <f>_xlfn.XLOOKUP(C:C,[2]Planilla!$C:$C,[2]Planilla!$I:$I)</f>
        <v>46178</v>
      </c>
      <c r="I233" s="23">
        <f>_xlfn.XLOOKUP(C:C,[2]Planilla!$C:$C,[2]Planilla!$J:$J)</f>
        <v>47042</v>
      </c>
      <c r="J233" s="23">
        <f>_xlfn.XLOOKUP(A:A,[3]Matriz!$E:$E,[3]Matriz!$FD:$FD)</f>
        <v>0</v>
      </c>
      <c r="K233" s="23">
        <f>_xlfn.XLOOKUP(A:A,[3]Matriz!$E:$E,[3]Matriz!$FF:$FF)</f>
        <v>0</v>
      </c>
    </row>
    <row r="234" spans="1:11" x14ac:dyDescent="0.35">
      <c r="A234" s="12" t="s">
        <v>328</v>
      </c>
      <c r="B234" s="1" t="s">
        <v>189</v>
      </c>
      <c r="C234" s="1" t="s">
        <v>934</v>
      </c>
      <c r="D234" s="21">
        <f>_xlfn.XLOOKUP(C:C,'[1]Reporte Flexible de Personas - '!$B:$B,'[1]Reporte Flexible de Personas - '!$E:$E)</f>
        <v>47595</v>
      </c>
      <c r="E234" s="21">
        <f>_xlfn.XLOOKUP(C:C,'[1]Reporte Flexible de Personas - '!$B:$B,'[1]Reporte Flexible de Personas - '!$G:$G)</f>
        <v>46411</v>
      </c>
      <c r="F234" s="25">
        <f>_xlfn.XLOOKUP(C:C,'[1]Reporte Flexible de Personas - '!$B:$B,'[1]Reporte Flexible de Personas - '!$I:$I)</f>
        <v>47200</v>
      </c>
      <c r="G234" s="23" t="e">
        <f>_xlfn.XLOOKUP(C:C,[2]Planilla!$C:$C,[2]Planilla!$H:$H)</f>
        <v>#N/A</v>
      </c>
      <c r="H234" s="23" t="e">
        <f>_xlfn.XLOOKUP(C:C,[2]Planilla!$C:$C,[2]Planilla!$I:$I)</f>
        <v>#N/A</v>
      </c>
      <c r="I234" s="23" t="e">
        <f>_xlfn.XLOOKUP(C:C,[2]Planilla!$C:$C,[2]Planilla!$J:$J)</f>
        <v>#N/A</v>
      </c>
      <c r="J234" s="23">
        <f>_xlfn.XLOOKUP(A:A,[3]Matriz!$E:$E,[3]Matriz!$FD:$FD)</f>
        <v>46388</v>
      </c>
      <c r="K234" s="23">
        <f>_xlfn.XLOOKUP(A:A,[3]Matriz!$E:$E,[3]Matriz!$FF:$FF)</f>
        <v>0</v>
      </c>
    </row>
    <row r="235" spans="1:11" x14ac:dyDescent="0.35">
      <c r="A235" s="12" t="s">
        <v>518</v>
      </c>
      <c r="B235" s="4" t="s">
        <v>120</v>
      </c>
      <c r="C235" s="4" t="s">
        <v>935</v>
      </c>
      <c r="D235" s="21">
        <f>_xlfn.XLOOKUP(C:C,'[1]Reporte Flexible de Personas - '!$B:$B,'[1]Reporte Flexible de Personas - '!$E:$E)</f>
        <v>48342</v>
      </c>
      <c r="E235" s="21">
        <f>_xlfn.XLOOKUP(C:C,'[1]Reporte Flexible de Personas - '!$B:$B,'[1]Reporte Flexible de Personas - '!$G:$G)</f>
        <v>46254</v>
      </c>
      <c r="F235" s="25">
        <f>_xlfn.XLOOKUP(C:C,'[1]Reporte Flexible de Personas - '!$B:$B,'[1]Reporte Flexible de Personas - '!$I:$I)</f>
        <v>46516</v>
      </c>
      <c r="G235" s="23">
        <f>_xlfn.XLOOKUP(C:C,[2]Planilla!$C:$C,[2]Planilla!$H:$H)</f>
        <v>47611</v>
      </c>
      <c r="H235" s="23">
        <f>_xlfn.XLOOKUP(C:C,[2]Planilla!$C:$C,[2]Planilla!$I:$I)</f>
        <v>47611</v>
      </c>
      <c r="I235" s="23">
        <f>_xlfn.XLOOKUP(C:C,[2]Planilla!$C:$C,[2]Planilla!$J:$J)</f>
        <v>46499</v>
      </c>
      <c r="J235" s="23">
        <f>_xlfn.XLOOKUP(A:A,[3]Matriz!$E:$E,[3]Matriz!$FD:$FD)</f>
        <v>0</v>
      </c>
      <c r="K235" s="23">
        <f>_xlfn.XLOOKUP(A:A,[3]Matriz!$E:$E,[3]Matriz!$FF:$FF)</f>
        <v>46388</v>
      </c>
    </row>
    <row r="236" spans="1:11" x14ac:dyDescent="0.35">
      <c r="A236" s="12" t="s">
        <v>306</v>
      </c>
      <c r="B236" s="1" t="s">
        <v>63</v>
      </c>
      <c r="C236" s="1" t="s">
        <v>936</v>
      </c>
      <c r="D236" s="21">
        <f>_xlfn.XLOOKUP(C:C,'[1]Reporte Flexible de Personas - '!$B:$B,'[1]Reporte Flexible de Personas - '!$E:$E)</f>
        <v>46895</v>
      </c>
      <c r="E236" s="21">
        <f>_xlfn.XLOOKUP(C:C,'[1]Reporte Flexible de Personas - '!$B:$B,'[1]Reporte Flexible de Personas - '!$G:$G)</f>
        <v>46241</v>
      </c>
      <c r="F236" s="25">
        <f>_xlfn.XLOOKUP(C:C,'[1]Reporte Flexible de Personas - '!$B:$B,'[1]Reporte Flexible de Personas - '!$I:$I)</f>
        <v>47365</v>
      </c>
      <c r="G236" s="23" t="e">
        <f>_xlfn.XLOOKUP(C:C,[2]Planilla!$C:$C,[2]Planilla!$H:$H)</f>
        <v>#N/A</v>
      </c>
      <c r="H236" s="23" t="e">
        <f>_xlfn.XLOOKUP(C:C,[2]Planilla!$C:$C,[2]Planilla!$I:$I)</f>
        <v>#N/A</v>
      </c>
      <c r="I236" s="23" t="e">
        <f>_xlfn.XLOOKUP(C:C,[2]Planilla!$C:$C,[2]Planilla!$J:$J)</f>
        <v>#N/A</v>
      </c>
      <c r="J236" s="23">
        <f>_xlfn.XLOOKUP(A:A,[3]Matriz!$E:$E,[3]Matriz!$FD:$FD)</f>
        <v>0</v>
      </c>
      <c r="K236" s="23">
        <f>_xlfn.XLOOKUP(A:A,[3]Matriz!$E:$E,[3]Matriz!$FF:$FF)</f>
        <v>0</v>
      </c>
    </row>
    <row r="237" spans="1:11" x14ac:dyDescent="0.35">
      <c r="A237" s="12" t="s">
        <v>442</v>
      </c>
      <c r="B237" s="4" t="s">
        <v>121</v>
      </c>
      <c r="C237" s="4" t="s">
        <v>937</v>
      </c>
      <c r="D237" s="21">
        <f>_xlfn.XLOOKUP(C:C,'[1]Reporte Flexible de Personas - '!$B:$B,'[1]Reporte Flexible de Personas - '!$E:$E)</f>
        <v>47654</v>
      </c>
      <c r="E237" s="21">
        <f>_xlfn.XLOOKUP(C:C,'[1]Reporte Flexible de Personas - '!$B:$B,'[1]Reporte Flexible de Personas - '!$G:$G)</f>
        <v>46646</v>
      </c>
      <c r="F237" s="25">
        <f>_xlfn.XLOOKUP(C:C,'[1]Reporte Flexible de Personas - '!$B:$B,'[1]Reporte Flexible de Personas - '!$I:$I)</f>
        <v>46431</v>
      </c>
      <c r="G237" s="23">
        <f>_xlfn.XLOOKUP(C:C,[2]Planilla!$C:$C,[2]Planilla!$H:$H)</f>
        <v>46558</v>
      </c>
      <c r="H237" s="23">
        <f>_xlfn.XLOOKUP(C:C,[2]Planilla!$C:$C,[2]Planilla!$I:$I)</f>
        <v>46558</v>
      </c>
      <c r="I237" s="23">
        <f>_xlfn.XLOOKUP(C:C,[2]Planilla!$C:$C,[2]Planilla!$J:$J)</f>
        <v>46295</v>
      </c>
      <c r="J237" s="23">
        <f>_xlfn.XLOOKUP(A:A,[3]Matriz!$E:$E,[3]Matriz!$FD:$FD)</f>
        <v>0</v>
      </c>
      <c r="K237" s="23">
        <f>_xlfn.XLOOKUP(A:A,[3]Matriz!$E:$E,[3]Matriz!$FF:$FF)</f>
        <v>0</v>
      </c>
    </row>
    <row r="238" spans="1:11" x14ac:dyDescent="0.35">
      <c r="A238" s="12" t="s">
        <v>522</v>
      </c>
      <c r="B238" s="1" t="s">
        <v>64</v>
      </c>
      <c r="C238" s="1" t="s">
        <v>938</v>
      </c>
      <c r="D238" s="21">
        <f>_xlfn.XLOOKUP(C:C,'[1]Reporte Flexible de Personas - '!$B:$B,'[1]Reporte Flexible de Personas - '!$E:$E)</f>
        <v>46686</v>
      </c>
      <c r="E238" s="21">
        <f>_xlfn.XLOOKUP(C:C,'[1]Reporte Flexible de Personas - '!$B:$B,'[1]Reporte Flexible de Personas - '!$G:$G)</f>
        <v>46474</v>
      </c>
      <c r="F238" s="25">
        <f>_xlfn.XLOOKUP(C:C,'[1]Reporte Flexible de Personas - '!$B:$B,'[1]Reporte Flexible de Personas - '!$I:$I)</f>
        <v>47064</v>
      </c>
      <c r="G238" s="23">
        <f>_xlfn.XLOOKUP(C:C,[2]Planilla!$C:$C,[2]Planilla!$H:$H)</f>
        <v>46321</v>
      </c>
      <c r="H238" s="23">
        <f>_xlfn.XLOOKUP(C:C,[2]Planilla!$C:$C,[2]Planilla!$I:$I)</f>
        <v>46321</v>
      </c>
      <c r="I238" s="23">
        <f>_xlfn.XLOOKUP(C:C,[2]Planilla!$C:$C,[2]Planilla!$J:$J)</f>
        <v>46266</v>
      </c>
      <c r="J238" s="23">
        <f>_xlfn.XLOOKUP(A:A,[3]Matriz!$E:$E,[3]Matriz!$FD:$FD)</f>
        <v>0</v>
      </c>
      <c r="K238" s="23">
        <f>_xlfn.XLOOKUP(A:A,[3]Matriz!$E:$E,[3]Matriz!$FF:$FF)</f>
        <v>46388</v>
      </c>
    </row>
    <row r="239" spans="1:11" x14ac:dyDescent="0.35">
      <c r="A239" s="12" t="s">
        <v>433</v>
      </c>
      <c r="B239" s="1" t="s">
        <v>65</v>
      </c>
      <c r="C239" s="1" t="s">
        <v>939</v>
      </c>
      <c r="D239" s="21">
        <f>_xlfn.XLOOKUP(C:C,'[1]Reporte Flexible de Personas - '!$B:$B,'[1]Reporte Flexible de Personas - '!$E:$E)</f>
        <v>46682</v>
      </c>
      <c r="E239" s="21">
        <f>_xlfn.XLOOKUP(C:C,'[1]Reporte Flexible de Personas - '!$B:$B,'[1]Reporte Flexible de Personas - '!$G:$G)</f>
        <v>47188</v>
      </c>
      <c r="F239" s="25">
        <f>_xlfn.XLOOKUP(C:C,'[1]Reporte Flexible de Personas - '!$B:$B,'[1]Reporte Flexible de Personas - '!$I:$I)</f>
        <v>46559</v>
      </c>
      <c r="G239" s="23">
        <f>_xlfn.XLOOKUP(C:C,[2]Planilla!$C:$C,[2]Planilla!$H:$H)</f>
        <v>47413</v>
      </c>
      <c r="H239" s="23">
        <f>_xlfn.XLOOKUP(C:C,[2]Planilla!$C:$C,[2]Planilla!$I:$I)</f>
        <v>47413</v>
      </c>
      <c r="I239" s="23">
        <f>_xlfn.XLOOKUP(C:C,[2]Planilla!$C:$C,[2]Planilla!$J:$J)</f>
        <v>46116</v>
      </c>
      <c r="J239" s="23">
        <f>_xlfn.XLOOKUP(A:A,[3]Matriz!$E:$E,[3]Matriz!$FD:$FD)</f>
        <v>46388</v>
      </c>
      <c r="K239" s="23">
        <f>_xlfn.XLOOKUP(A:A,[3]Matriz!$E:$E,[3]Matriz!$FF:$FF)</f>
        <v>46388</v>
      </c>
    </row>
    <row r="240" spans="1:11" x14ac:dyDescent="0.35">
      <c r="A240" s="12" t="s">
        <v>546</v>
      </c>
      <c r="B240" s="1" t="s">
        <v>547</v>
      </c>
      <c r="C240" s="1" t="s">
        <v>940</v>
      </c>
      <c r="D240" s="21" t="e">
        <f>_xlfn.XLOOKUP(C:C,'[1]Reporte Flexible de Personas - '!$B:$B,'[1]Reporte Flexible de Personas - '!$E:$E)</f>
        <v>#N/A</v>
      </c>
      <c r="E240" s="21" t="e">
        <f>_xlfn.XLOOKUP(C:C,'[1]Reporte Flexible de Personas - '!$B:$B,'[1]Reporte Flexible de Personas - '!$G:$G)</f>
        <v>#N/A</v>
      </c>
      <c r="F240" s="25" t="e">
        <f>_xlfn.XLOOKUP(C:C,'[1]Reporte Flexible de Personas - '!$B:$B,'[1]Reporte Flexible de Personas - '!$I:$I)</f>
        <v>#N/A</v>
      </c>
      <c r="G240" s="23" t="e">
        <f>_xlfn.XLOOKUP(C:C,[2]Planilla!$C:$C,[2]Planilla!$H:$H)</f>
        <v>#N/A</v>
      </c>
      <c r="H240" s="23" t="e">
        <f>_xlfn.XLOOKUP(C:C,[2]Planilla!$C:$C,[2]Planilla!$I:$I)</f>
        <v>#N/A</v>
      </c>
      <c r="I240" s="23" t="e">
        <f>_xlfn.XLOOKUP(C:C,[2]Planilla!$C:$C,[2]Planilla!$J:$J)</f>
        <v>#N/A</v>
      </c>
      <c r="J240" s="23">
        <f>_xlfn.XLOOKUP(A:A,[3]Matriz!$E:$E,[3]Matriz!$FD:$FD)</f>
        <v>0</v>
      </c>
      <c r="K240" s="23">
        <f>_xlfn.XLOOKUP(A:A,[3]Matriz!$E:$E,[3]Matriz!$FF:$FF)</f>
        <v>0</v>
      </c>
    </row>
    <row r="241" spans="1:11" x14ac:dyDescent="0.35">
      <c r="A241" s="14" t="s">
        <v>273</v>
      </c>
      <c r="B241" s="1" t="s">
        <v>25</v>
      </c>
      <c r="C241" s="1" t="s">
        <v>941</v>
      </c>
      <c r="D241" s="21">
        <f>_xlfn.XLOOKUP(C:C,'[1]Reporte Flexible de Personas - '!$B:$B,'[1]Reporte Flexible de Personas - '!$E:$E)</f>
        <v>46858</v>
      </c>
      <c r="E241" s="21">
        <f>_xlfn.XLOOKUP(C:C,'[1]Reporte Flexible de Personas - '!$B:$B,'[1]Reporte Flexible de Personas - '!$G:$G)</f>
        <v>46231</v>
      </c>
      <c r="F241" s="25">
        <f>_xlfn.XLOOKUP(C:C,'[1]Reporte Flexible de Personas - '!$B:$B,'[1]Reporte Flexible de Personas - '!$I:$I)</f>
        <v>46383</v>
      </c>
      <c r="G241" s="23" t="e">
        <f>_xlfn.XLOOKUP(C:C,[2]Planilla!$C:$C,[2]Planilla!$H:$H)</f>
        <v>#N/A</v>
      </c>
      <c r="H241" s="23" t="e">
        <f>_xlfn.XLOOKUP(C:C,[2]Planilla!$C:$C,[2]Planilla!$I:$I)</f>
        <v>#N/A</v>
      </c>
      <c r="I241" s="23" t="e">
        <f>_xlfn.XLOOKUP(C:C,[2]Planilla!$C:$C,[2]Planilla!$J:$J)</f>
        <v>#N/A</v>
      </c>
      <c r="J241" s="23">
        <f>_xlfn.XLOOKUP(A:A,[3]Matriz!$E:$E,[3]Matriz!$FD:$FD)</f>
        <v>0</v>
      </c>
      <c r="K241" s="23">
        <f>_xlfn.XLOOKUP(A:A,[3]Matriz!$E:$E,[3]Matriz!$FF:$FF)</f>
        <v>0</v>
      </c>
    </row>
    <row r="242" spans="1:11" x14ac:dyDescent="0.35">
      <c r="A242" s="12" t="s">
        <v>445</v>
      </c>
      <c r="B242" s="1" t="s">
        <v>228</v>
      </c>
      <c r="C242" s="1" t="s">
        <v>942</v>
      </c>
      <c r="D242" s="21">
        <f>_xlfn.XLOOKUP(C:C,'[1]Reporte Flexible de Personas - '!$B:$B,'[1]Reporte Flexible de Personas - '!$E:$E)</f>
        <v>49114</v>
      </c>
      <c r="E242" s="21">
        <f>_xlfn.XLOOKUP(C:C,'[1]Reporte Flexible de Personas - '!$B:$B,'[1]Reporte Flexible de Personas - '!$G:$G)</f>
        <v>46268</v>
      </c>
      <c r="F242" s="25">
        <f>_xlfn.XLOOKUP(C:C,'[1]Reporte Flexible de Personas - '!$B:$B,'[1]Reporte Flexible de Personas - '!$I:$I)</f>
        <v>47079</v>
      </c>
      <c r="G242" s="23" t="e">
        <f>_xlfn.XLOOKUP(C:C,[2]Planilla!$C:$C,[2]Planilla!$H:$H)</f>
        <v>#N/A</v>
      </c>
      <c r="H242" s="23" t="e">
        <f>_xlfn.XLOOKUP(C:C,[2]Planilla!$C:$C,[2]Planilla!$I:$I)</f>
        <v>#N/A</v>
      </c>
      <c r="I242" s="23" t="e">
        <f>_xlfn.XLOOKUP(C:C,[2]Planilla!$C:$C,[2]Planilla!$J:$J)</f>
        <v>#N/A</v>
      </c>
      <c r="J242" s="23">
        <f>_xlfn.XLOOKUP(A:A,[3]Matriz!$E:$E,[3]Matriz!$FD:$FD)</f>
        <v>0</v>
      </c>
      <c r="K242" s="23">
        <f>_xlfn.XLOOKUP(A:A,[3]Matriz!$E:$E,[3]Matriz!$FF:$FF)</f>
        <v>0</v>
      </c>
    </row>
    <row r="243" spans="1:11" x14ac:dyDescent="0.35">
      <c r="A243" s="12" t="s">
        <v>510</v>
      </c>
      <c r="B243" s="1" t="s">
        <v>229</v>
      </c>
      <c r="C243" s="1" t="s">
        <v>943</v>
      </c>
      <c r="D243" s="21">
        <f>_xlfn.XLOOKUP(C:C,'[1]Reporte Flexible de Personas - '!$B:$B,'[1]Reporte Flexible de Personas - '!$E:$E)</f>
        <v>46416</v>
      </c>
      <c r="E243" s="21">
        <f>_xlfn.XLOOKUP(C:C,'[1]Reporte Flexible de Personas - '!$B:$B,'[1]Reporte Flexible de Personas - '!$G:$G)</f>
        <v>46718</v>
      </c>
      <c r="F243" s="25">
        <f>_xlfn.XLOOKUP(C:C,'[1]Reporte Flexible de Personas - '!$B:$B,'[1]Reporte Flexible de Personas - '!$I:$I)</f>
        <v>47282</v>
      </c>
      <c r="G243" s="23" t="e">
        <f>_xlfn.XLOOKUP(C:C,[2]Planilla!$C:$C,[2]Planilla!$H:$H)</f>
        <v>#N/A</v>
      </c>
      <c r="H243" s="23" t="e">
        <f>_xlfn.XLOOKUP(C:C,[2]Planilla!$C:$C,[2]Planilla!$I:$I)</f>
        <v>#N/A</v>
      </c>
      <c r="I243" s="23" t="e">
        <f>_xlfn.XLOOKUP(C:C,[2]Planilla!$C:$C,[2]Planilla!$J:$J)</f>
        <v>#N/A</v>
      </c>
      <c r="J243" s="23">
        <f>_xlfn.XLOOKUP(A:A,[3]Matriz!$E:$E,[3]Matriz!$FD:$FD)</f>
        <v>0</v>
      </c>
      <c r="K243" s="23">
        <f>_xlfn.XLOOKUP(A:A,[3]Matriz!$E:$E,[3]Matriz!$FF:$FF)</f>
        <v>0</v>
      </c>
    </row>
    <row r="244" spans="1:11" x14ac:dyDescent="0.35">
      <c r="A244" s="12" t="s">
        <v>539</v>
      </c>
      <c r="B244" s="1" t="s">
        <v>190</v>
      </c>
      <c r="C244" s="1" t="s">
        <v>944</v>
      </c>
      <c r="D244" s="21">
        <f>_xlfn.XLOOKUP(C:C,'[1]Reporte Flexible de Personas - '!$B:$B,'[1]Reporte Flexible de Personas - '!$E:$E)</f>
        <v>47649</v>
      </c>
      <c r="E244" s="21">
        <f>_xlfn.XLOOKUP(C:C,'[1]Reporte Flexible de Personas - '!$B:$B,'[1]Reporte Flexible de Personas - '!$G:$G)</f>
        <v>46643</v>
      </c>
      <c r="F244" s="25">
        <f>_xlfn.XLOOKUP(C:C,'[1]Reporte Flexible de Personas - '!$B:$B,'[1]Reporte Flexible de Personas - '!$I:$I)</f>
        <v>47386</v>
      </c>
      <c r="G244" s="23">
        <f>_xlfn.XLOOKUP(C:C,[2]Planilla!$C:$C,[2]Planilla!$H:$H)</f>
        <v>46553</v>
      </c>
      <c r="H244" s="23">
        <f>_xlfn.XLOOKUP(C:C,[2]Planilla!$C:$C,[2]Planilla!$I:$I)</f>
        <v>46553</v>
      </c>
      <c r="I244" s="23">
        <f>_xlfn.XLOOKUP(C:C,[2]Planilla!$C:$C,[2]Planilla!$J:$J)</f>
        <v>46330</v>
      </c>
      <c r="J244" s="23">
        <f>_xlfn.XLOOKUP(A:A,[3]Matriz!$E:$E,[3]Matriz!$FD:$FD)</f>
        <v>0</v>
      </c>
      <c r="K244" s="23">
        <f>_xlfn.XLOOKUP(A:A,[3]Matriz!$E:$E,[3]Matriz!$FF:$FF)</f>
        <v>0</v>
      </c>
    </row>
    <row r="245" spans="1:11" x14ac:dyDescent="0.35">
      <c r="A245" s="12" t="s">
        <v>257</v>
      </c>
      <c r="B245" s="1" t="s">
        <v>4</v>
      </c>
      <c r="C245" s="1" t="s">
        <v>945</v>
      </c>
      <c r="D245" s="21">
        <f>_xlfn.XLOOKUP(C:C,'[1]Reporte Flexible de Personas - '!$B:$B,'[1]Reporte Flexible de Personas - '!$E:$E)</f>
        <v>47944</v>
      </c>
      <c r="E245" s="21">
        <f>_xlfn.XLOOKUP(C:C,'[1]Reporte Flexible de Personas - '!$B:$B,'[1]Reporte Flexible de Personas - '!$G:$G)</f>
        <v>46585</v>
      </c>
      <c r="F245" s="25">
        <f>_xlfn.XLOOKUP(C:C,'[1]Reporte Flexible de Personas - '!$B:$B,'[1]Reporte Flexible de Personas - '!$I:$I)</f>
        <v>46983</v>
      </c>
      <c r="G245" s="23">
        <f>_xlfn.XLOOKUP(C:C,[2]Planilla!$C:$C,[2]Planilla!$H:$H)</f>
        <v>47944</v>
      </c>
      <c r="H245" s="23">
        <f>_xlfn.XLOOKUP(C:C,[2]Planilla!$C:$C,[2]Planilla!$I:$I)</f>
        <v>47944</v>
      </c>
      <c r="I245" s="23">
        <f>_xlfn.XLOOKUP(C:C,[2]Planilla!$C:$C,[2]Planilla!$J:$J)</f>
        <v>46774</v>
      </c>
      <c r="J245" s="23">
        <f>_xlfn.XLOOKUP(A:A,[3]Matriz!$E:$E,[3]Matriz!$FD:$FD)</f>
        <v>0</v>
      </c>
      <c r="K245" s="23">
        <f>_xlfn.XLOOKUP(A:A,[3]Matriz!$E:$E,[3]Matriz!$FF:$FF)</f>
        <v>0</v>
      </c>
    </row>
    <row r="246" spans="1:11" x14ac:dyDescent="0.35">
      <c r="A246" s="12" t="s">
        <v>473</v>
      </c>
      <c r="B246" s="1" t="s">
        <v>230</v>
      </c>
      <c r="C246" s="1" t="s">
        <v>946</v>
      </c>
      <c r="D246" s="21">
        <f>_xlfn.XLOOKUP(C:C,'[1]Reporte Flexible de Personas - '!$B:$B,'[1]Reporte Flexible de Personas - '!$E:$E)</f>
        <v>48073</v>
      </c>
      <c r="E246" s="21">
        <f>_xlfn.XLOOKUP(C:C,'[1]Reporte Flexible de Personas - '!$B:$B,'[1]Reporte Flexible de Personas - '!$G:$G)</f>
        <v>46550</v>
      </c>
      <c r="F246" s="25">
        <f>_xlfn.XLOOKUP(C:C,'[1]Reporte Flexible de Personas - '!$B:$B,'[1]Reporte Flexible de Personas - '!$I:$I)</f>
        <v>46601</v>
      </c>
      <c r="G246" s="23">
        <f>_xlfn.XLOOKUP(C:C,[2]Planilla!$C:$C,[2]Planilla!$H:$H)</f>
        <v>46978</v>
      </c>
      <c r="H246" s="23">
        <f>_xlfn.XLOOKUP(C:C,[2]Planilla!$C:$C,[2]Planilla!$I:$I)</f>
        <v>46978</v>
      </c>
      <c r="I246" s="23">
        <f>_xlfn.XLOOKUP(C:C,[2]Planilla!$C:$C,[2]Planilla!$J:$J)</f>
        <v>47019</v>
      </c>
      <c r="J246" s="23">
        <f>_xlfn.XLOOKUP(A:A,[3]Matriz!$E:$E,[3]Matriz!$FD:$FD)</f>
        <v>0</v>
      </c>
      <c r="K246" s="23">
        <f>_xlfn.XLOOKUP(A:A,[3]Matriz!$E:$E,[3]Matriz!$FF:$FF)</f>
        <v>0</v>
      </c>
    </row>
    <row r="247" spans="1:11" x14ac:dyDescent="0.35">
      <c r="A247" s="12" t="s">
        <v>575</v>
      </c>
      <c r="B247" s="1" t="s">
        <v>579</v>
      </c>
      <c r="C247" s="1" t="s">
        <v>947</v>
      </c>
      <c r="D247" s="21" t="e">
        <f>_xlfn.XLOOKUP(C:C,'[1]Reporte Flexible de Personas - '!$B:$B,'[1]Reporte Flexible de Personas - '!$E:$E)</f>
        <v>#N/A</v>
      </c>
      <c r="E247" s="21" t="e">
        <f>_xlfn.XLOOKUP(C:C,'[1]Reporte Flexible de Personas - '!$B:$B,'[1]Reporte Flexible de Personas - '!$G:$G)</f>
        <v>#N/A</v>
      </c>
      <c r="F247" s="25" t="e">
        <f>_xlfn.XLOOKUP(C:C,'[1]Reporte Flexible de Personas - '!$B:$B,'[1]Reporte Flexible de Personas - '!$I:$I)</f>
        <v>#N/A</v>
      </c>
      <c r="G247" s="23" t="e">
        <f>_xlfn.XLOOKUP(C:C,[2]Planilla!$C:$C,[2]Planilla!$H:$H)</f>
        <v>#N/A</v>
      </c>
      <c r="H247" s="23" t="e">
        <f>_xlfn.XLOOKUP(C:C,[2]Planilla!$C:$C,[2]Planilla!$I:$I)</f>
        <v>#N/A</v>
      </c>
      <c r="I247" s="23" t="e">
        <f>_xlfn.XLOOKUP(C:C,[2]Planilla!$C:$C,[2]Planilla!$J:$J)</f>
        <v>#N/A</v>
      </c>
      <c r="J247" s="23">
        <f>_xlfn.XLOOKUP(A:A,[3]Matriz!$E:$E,[3]Matriz!$FD:$FD)</f>
        <v>0</v>
      </c>
      <c r="K247" s="23">
        <f>_xlfn.XLOOKUP(A:A,[3]Matriz!$E:$E,[3]Matriz!$FF:$FF)</f>
        <v>0</v>
      </c>
    </row>
    <row r="248" spans="1:11" x14ac:dyDescent="0.35">
      <c r="A248" s="12" t="s">
        <v>321</v>
      </c>
      <c r="B248" s="1" t="s">
        <v>66</v>
      </c>
      <c r="C248" s="1" t="s">
        <v>948</v>
      </c>
      <c r="D248" s="21">
        <f>_xlfn.XLOOKUP(C:C,'[1]Reporte Flexible de Personas - '!$B:$B,'[1]Reporte Flexible de Personas - '!$E:$E)</f>
        <v>49073</v>
      </c>
      <c r="E248" s="21">
        <f>_xlfn.XLOOKUP(C:C,'[1]Reporte Flexible de Personas - '!$B:$B,'[1]Reporte Flexible de Personas - '!$G:$G)</f>
        <v>46392</v>
      </c>
      <c r="F248" s="25">
        <f>_xlfn.XLOOKUP(C:C,'[1]Reporte Flexible de Personas - '!$B:$B,'[1]Reporte Flexible de Personas - '!$I:$I)</f>
        <v>46441</v>
      </c>
      <c r="G248" s="23" t="e">
        <f>_xlfn.XLOOKUP(C:C,[2]Planilla!$C:$C,[2]Planilla!$H:$H)</f>
        <v>#N/A</v>
      </c>
      <c r="H248" s="23" t="e">
        <f>_xlfn.XLOOKUP(C:C,[2]Planilla!$C:$C,[2]Planilla!$I:$I)</f>
        <v>#N/A</v>
      </c>
      <c r="I248" s="23" t="e">
        <f>_xlfn.XLOOKUP(C:C,[2]Planilla!$C:$C,[2]Planilla!$J:$J)</f>
        <v>#N/A</v>
      </c>
      <c r="J248" s="23">
        <f>_xlfn.XLOOKUP(A:A,[3]Matriz!$E:$E,[3]Matriz!$FD:$FD)</f>
        <v>0</v>
      </c>
      <c r="K248" s="23">
        <f>_xlfn.XLOOKUP(A:A,[3]Matriz!$E:$E,[3]Matriz!$FF:$FF)</f>
        <v>0</v>
      </c>
    </row>
    <row r="249" spans="1:11" x14ac:dyDescent="0.35">
      <c r="A249" s="12" t="s">
        <v>460</v>
      </c>
      <c r="B249" s="1" t="s">
        <v>231</v>
      </c>
      <c r="C249" s="1" t="s">
        <v>949</v>
      </c>
      <c r="D249" s="21">
        <f>_xlfn.XLOOKUP(C:C,'[1]Reporte Flexible de Personas - '!$B:$B,'[1]Reporte Flexible de Personas - '!$E:$E)</f>
        <v>49412</v>
      </c>
      <c r="E249" s="21">
        <f>_xlfn.XLOOKUP(C:C,'[1]Reporte Flexible de Personas - '!$B:$B,'[1]Reporte Flexible de Personas - '!$G:$G)</f>
        <v>46823</v>
      </c>
      <c r="F249" s="25">
        <f>_xlfn.XLOOKUP(C:C,'[1]Reporte Flexible de Personas - '!$B:$B,'[1]Reporte Flexible de Personas - '!$I:$I)</f>
        <v>47216</v>
      </c>
      <c r="G249" s="23">
        <f>_xlfn.XLOOKUP(C:C,[2]Planilla!$C:$C,[2]Planilla!$H:$H)</f>
        <v>47221</v>
      </c>
      <c r="H249" s="23">
        <f>_xlfn.XLOOKUP(C:C,[2]Planilla!$C:$C,[2]Planilla!$I:$I)</f>
        <v>47221</v>
      </c>
      <c r="I249" s="23">
        <f>_xlfn.XLOOKUP(C:C,[2]Planilla!$C:$C,[2]Planilla!$J:$J)</f>
        <v>47593</v>
      </c>
      <c r="J249" s="23">
        <f>_xlfn.XLOOKUP(A:A,[3]Matriz!$E:$E,[3]Matriz!$FD:$FD)</f>
        <v>0</v>
      </c>
      <c r="K249" s="23">
        <f>_xlfn.XLOOKUP(A:A,[3]Matriz!$E:$E,[3]Matriz!$FF:$FF)</f>
        <v>0</v>
      </c>
    </row>
    <row r="250" spans="1:11" x14ac:dyDescent="0.35">
      <c r="A250" s="12" t="s">
        <v>388</v>
      </c>
      <c r="B250" s="1" t="s">
        <v>67</v>
      </c>
      <c r="C250" s="1" t="s">
        <v>950</v>
      </c>
      <c r="D250" s="21">
        <f>_xlfn.XLOOKUP(C:C,'[1]Reporte Flexible de Personas - '!$B:$B,'[1]Reporte Flexible de Personas - '!$E:$E)</f>
        <v>49763</v>
      </c>
      <c r="E250" s="21">
        <f>_xlfn.XLOOKUP(C:C,'[1]Reporte Flexible de Personas - '!$B:$B,'[1]Reporte Flexible de Personas - '!$G:$G)</f>
        <v>47006</v>
      </c>
      <c r="F250" s="25">
        <f>_xlfn.XLOOKUP(C:C,'[1]Reporte Flexible de Personas - '!$B:$B,'[1]Reporte Flexible de Personas - '!$I:$I)</f>
        <v>47449</v>
      </c>
      <c r="G250" s="23">
        <f>_xlfn.XLOOKUP(C:C,[2]Planilla!$C:$C,[2]Planilla!$H:$H)</f>
        <v>47206</v>
      </c>
      <c r="H250" s="23">
        <f>_xlfn.XLOOKUP(C:C,[2]Planilla!$C:$C,[2]Planilla!$I:$I)</f>
        <v>47206</v>
      </c>
      <c r="I250" s="23">
        <f>_xlfn.XLOOKUP(C:C,[2]Planilla!$C:$C,[2]Planilla!$J:$J)</f>
        <v>47288</v>
      </c>
      <c r="J250" s="23">
        <f>_xlfn.XLOOKUP(A:A,[3]Matriz!$E:$E,[3]Matriz!$FD:$FD)</f>
        <v>0</v>
      </c>
      <c r="K250" s="23">
        <f>_xlfn.XLOOKUP(A:A,[3]Matriz!$E:$E,[3]Matriz!$FF:$FF)</f>
        <v>0</v>
      </c>
    </row>
    <row r="251" spans="1:11" x14ac:dyDescent="0.35">
      <c r="A251" s="12" t="s">
        <v>396</v>
      </c>
      <c r="B251" s="1" t="s">
        <v>197</v>
      </c>
      <c r="C251" s="1" t="s">
        <v>951</v>
      </c>
      <c r="D251" s="21">
        <f>_xlfn.XLOOKUP(C:C,'[1]Reporte Flexible de Personas - '!$B:$B,'[1]Reporte Flexible de Personas - '!$E:$E)</f>
        <v>46274</v>
      </c>
      <c r="E251" s="21">
        <f>_xlfn.XLOOKUP(C:C,'[1]Reporte Flexible de Personas - '!$B:$B,'[1]Reporte Flexible de Personas - '!$G:$G)</f>
        <v>46570</v>
      </c>
      <c r="F251" s="25">
        <f>_xlfn.XLOOKUP(C:C,'[1]Reporte Flexible de Personas - '!$B:$B,'[1]Reporte Flexible de Personas - '!$I:$I)</f>
        <v>47301</v>
      </c>
      <c r="G251" s="23">
        <f>_xlfn.XLOOKUP(C:C,[2]Planilla!$C:$C,[2]Planilla!$H:$H)</f>
        <v>46815</v>
      </c>
      <c r="H251" s="23">
        <f>_xlfn.XLOOKUP(C:C,[2]Planilla!$C:$C,[2]Planilla!$I:$I)</f>
        <v>46568</v>
      </c>
      <c r="I251" s="23">
        <f>_xlfn.XLOOKUP(C:C,[2]Planilla!$C:$C,[2]Planilla!$J:$J)</f>
        <v>47160</v>
      </c>
      <c r="J251" s="23">
        <f>_xlfn.XLOOKUP(A:A,[3]Matriz!$E:$E,[3]Matriz!$FD:$FD)</f>
        <v>0</v>
      </c>
      <c r="K251" s="23">
        <f>_xlfn.XLOOKUP(A:A,[3]Matriz!$E:$E,[3]Matriz!$FF:$FF)</f>
        <v>0</v>
      </c>
    </row>
    <row r="252" spans="1:11" x14ac:dyDescent="0.35">
      <c r="A252" s="12" t="s">
        <v>403</v>
      </c>
      <c r="B252" s="1" t="s">
        <v>191</v>
      </c>
      <c r="C252" s="1" t="s">
        <v>952</v>
      </c>
      <c r="D252" s="21">
        <f>_xlfn.XLOOKUP(C:C,'[1]Reporte Flexible de Personas - '!$B:$B,'[1]Reporte Flexible de Personas - '!$E:$E)</f>
        <v>48143</v>
      </c>
      <c r="E252" s="21">
        <f>_xlfn.XLOOKUP(C:C,'[1]Reporte Flexible de Personas - '!$B:$B,'[1]Reporte Flexible de Personas - '!$G:$G)</f>
        <v>46816</v>
      </c>
      <c r="F252" s="25">
        <f>_xlfn.XLOOKUP(C:C,'[1]Reporte Flexible de Personas - '!$B:$B,'[1]Reporte Flexible de Personas - '!$I:$I)</f>
        <v>46997</v>
      </c>
      <c r="G252" s="23">
        <f>_xlfn.XLOOKUP(C:C,[2]Planilla!$C:$C,[2]Planilla!$H:$H)</f>
        <v>46682</v>
      </c>
      <c r="H252" s="23">
        <f>_xlfn.XLOOKUP(C:C,[2]Planilla!$C:$C,[2]Planilla!$I:$I)</f>
        <v>46682</v>
      </c>
      <c r="I252" s="23">
        <f>_xlfn.XLOOKUP(C:C,[2]Planilla!$C:$C,[2]Planilla!$J:$J)</f>
        <v>46438</v>
      </c>
      <c r="J252" s="23">
        <f>_xlfn.XLOOKUP(A:A,[3]Matriz!$E:$E,[3]Matriz!$FD:$FD)</f>
        <v>0</v>
      </c>
      <c r="K252" s="23">
        <f>_xlfn.XLOOKUP(A:A,[3]Matriz!$E:$E,[3]Matriz!$FF:$FF)</f>
        <v>0</v>
      </c>
    </row>
    <row r="253" spans="1:11" x14ac:dyDescent="0.35">
      <c r="A253" s="12" t="s">
        <v>406</v>
      </c>
      <c r="B253" s="1" t="s">
        <v>122</v>
      </c>
      <c r="C253" s="1" t="s">
        <v>953</v>
      </c>
      <c r="D253" s="21">
        <f>_xlfn.XLOOKUP(C:C,'[1]Reporte Flexible de Personas - '!$B:$B,'[1]Reporte Flexible de Personas - '!$E:$E)</f>
        <v>47397</v>
      </c>
      <c r="E253" s="21">
        <f>_xlfn.XLOOKUP(C:C,'[1]Reporte Flexible de Personas - '!$B:$B,'[1]Reporte Flexible de Personas - '!$G:$G)</f>
        <v>46937</v>
      </c>
      <c r="F253" s="25">
        <f>_xlfn.XLOOKUP(C:C,'[1]Reporte Flexible de Personas - '!$B:$B,'[1]Reporte Flexible de Personas - '!$I:$I)</f>
        <v>47114</v>
      </c>
      <c r="G253" s="23">
        <f>_xlfn.XLOOKUP(C:C,[2]Planilla!$C:$C,[2]Planilla!$H:$H)</f>
        <v>47397</v>
      </c>
      <c r="H253" s="23">
        <f>_xlfn.XLOOKUP(C:C,[2]Planilla!$C:$C,[2]Planilla!$I:$I)</f>
        <v>47397</v>
      </c>
      <c r="I253" s="23">
        <f>_xlfn.XLOOKUP(C:C,[2]Planilla!$C:$C,[2]Planilla!$J:$J)</f>
        <v>46347</v>
      </c>
      <c r="J253" s="23">
        <f>_xlfn.XLOOKUP(A:A,[3]Matriz!$E:$E,[3]Matriz!$FD:$FD)</f>
        <v>0</v>
      </c>
      <c r="K253" s="23">
        <f>_xlfn.XLOOKUP(A:A,[3]Matriz!$E:$E,[3]Matriz!$FF:$FF)</f>
        <v>46388</v>
      </c>
    </row>
    <row r="254" spans="1:11" x14ac:dyDescent="0.35">
      <c r="A254" s="12" t="s">
        <v>500</v>
      </c>
      <c r="B254" s="1" t="s">
        <v>68</v>
      </c>
      <c r="C254" s="1" t="s">
        <v>954</v>
      </c>
      <c r="D254" s="21">
        <f>_xlfn.XLOOKUP(C:C,'[1]Reporte Flexible de Personas - '!$B:$B,'[1]Reporte Flexible de Personas - '!$E:$E)</f>
        <v>46371</v>
      </c>
      <c r="E254" s="21">
        <f>_xlfn.XLOOKUP(C:C,'[1]Reporte Flexible de Personas - '!$B:$B,'[1]Reporte Flexible de Personas - '!$G:$G)</f>
        <v>46829</v>
      </c>
      <c r="F254" s="25">
        <f>_xlfn.XLOOKUP(C:C,'[1]Reporte Flexible de Personas - '!$B:$B,'[1]Reporte Flexible de Personas - '!$I:$I)</f>
        <v>47098</v>
      </c>
      <c r="G254" s="23" t="e">
        <f>_xlfn.XLOOKUP(C:C,[2]Planilla!$C:$C,[2]Planilla!$H:$H)</f>
        <v>#N/A</v>
      </c>
      <c r="H254" s="23" t="e">
        <f>_xlfn.XLOOKUP(C:C,[2]Planilla!$C:$C,[2]Planilla!$I:$I)</f>
        <v>#N/A</v>
      </c>
      <c r="I254" s="23" t="e">
        <f>_xlfn.XLOOKUP(C:C,[2]Planilla!$C:$C,[2]Planilla!$J:$J)</f>
        <v>#N/A</v>
      </c>
      <c r="J254" s="23">
        <f>_xlfn.XLOOKUP(A:A,[3]Matriz!$E:$E,[3]Matriz!$FD:$FD)</f>
        <v>0</v>
      </c>
      <c r="K254" s="23">
        <f>_xlfn.XLOOKUP(A:A,[3]Matriz!$E:$E,[3]Matriz!$FF:$FF)</f>
        <v>0</v>
      </c>
    </row>
    <row r="255" spans="1:11" x14ac:dyDescent="0.35">
      <c r="A255" s="12" t="s">
        <v>274</v>
      </c>
      <c r="B255" s="1" t="s">
        <v>18</v>
      </c>
      <c r="C255" s="1" t="s">
        <v>955</v>
      </c>
      <c r="D255" s="21">
        <f>_xlfn.XLOOKUP(C:C,'[1]Reporte Flexible de Personas - '!$B:$B,'[1]Reporte Flexible de Personas - '!$E:$E)</f>
        <v>47548</v>
      </c>
      <c r="E255" s="21">
        <f>_xlfn.XLOOKUP(C:C,'[1]Reporte Flexible de Personas - '!$B:$B,'[1]Reporte Flexible de Personas - '!$G:$G)</f>
        <v>46994</v>
      </c>
      <c r="F255" s="25">
        <f>_xlfn.XLOOKUP(C:C,'[1]Reporte Flexible de Personas - '!$B:$B,'[1]Reporte Flexible de Personas - '!$I:$I)</f>
        <v>47388</v>
      </c>
      <c r="G255" s="23">
        <f>_xlfn.XLOOKUP(C:C,[2]Planilla!$C:$C,[2]Planilla!$H:$H)</f>
        <v>46818</v>
      </c>
      <c r="H255" s="23">
        <f>_xlfn.XLOOKUP(C:C,[2]Planilla!$C:$C,[2]Planilla!$I:$I)</f>
        <v>46818</v>
      </c>
      <c r="I255" s="23">
        <f>_xlfn.XLOOKUP(C:C,[2]Planilla!$C:$C,[2]Planilla!$J:$J)</f>
        <v>47457</v>
      </c>
      <c r="J255" s="23">
        <f>_xlfn.XLOOKUP(A:A,[3]Matriz!$E:$E,[3]Matriz!$FD:$FD)</f>
        <v>0</v>
      </c>
      <c r="K255" s="23">
        <f>_xlfn.XLOOKUP(A:A,[3]Matriz!$E:$E,[3]Matriz!$FF:$FF)</f>
        <v>0</v>
      </c>
    </row>
    <row r="256" spans="1:11" x14ac:dyDescent="0.35">
      <c r="A256" s="12" t="s">
        <v>503</v>
      </c>
      <c r="B256" s="1" t="s">
        <v>232</v>
      </c>
      <c r="C256" s="1" t="s">
        <v>956</v>
      </c>
      <c r="D256" s="21">
        <f>_xlfn.XLOOKUP(C:C,'[1]Reporte Flexible de Personas - '!$B:$B,'[1]Reporte Flexible de Personas - '!$E:$E)</f>
        <v>47498</v>
      </c>
      <c r="E256" s="21">
        <f>_xlfn.XLOOKUP(C:C,'[1]Reporte Flexible de Personas - '!$B:$B,'[1]Reporte Flexible de Personas - '!$G:$G)</f>
        <v>46235</v>
      </c>
      <c r="F256" s="25">
        <f>_xlfn.XLOOKUP(C:C,'[1]Reporte Flexible de Personas - '!$B:$B,'[1]Reporte Flexible de Personas - '!$I:$I)</f>
        <v>47368</v>
      </c>
      <c r="G256" s="23" t="e">
        <f>_xlfn.XLOOKUP(C:C,[2]Planilla!$C:$C,[2]Planilla!$H:$H)</f>
        <v>#N/A</v>
      </c>
      <c r="H256" s="23" t="e">
        <f>_xlfn.XLOOKUP(C:C,[2]Planilla!$C:$C,[2]Planilla!$I:$I)</f>
        <v>#N/A</v>
      </c>
      <c r="I256" s="23" t="e">
        <f>_xlfn.XLOOKUP(C:C,[2]Planilla!$C:$C,[2]Planilla!$J:$J)</f>
        <v>#N/A</v>
      </c>
      <c r="J256" s="23">
        <f>_xlfn.XLOOKUP(A:A,[3]Matriz!$E:$E,[3]Matriz!$FD:$FD)</f>
        <v>0</v>
      </c>
      <c r="K256" s="23">
        <f>_xlfn.XLOOKUP(A:A,[3]Matriz!$E:$E,[3]Matriz!$FF:$FF)</f>
        <v>0</v>
      </c>
    </row>
    <row r="257" spans="1:11" x14ac:dyDescent="0.35">
      <c r="A257" s="12" t="s">
        <v>353</v>
      </c>
      <c r="B257" s="1" t="s">
        <v>19</v>
      </c>
      <c r="C257" s="1" t="s">
        <v>957</v>
      </c>
      <c r="D257" s="21">
        <f>_xlfn.XLOOKUP(C:C,'[1]Reporte Flexible de Personas - '!$B:$B,'[1]Reporte Flexible de Personas - '!$E:$E)</f>
        <v>49240</v>
      </c>
      <c r="E257" s="21">
        <f>_xlfn.XLOOKUP(C:C,'[1]Reporte Flexible de Personas - '!$B:$B,'[1]Reporte Flexible de Personas - '!$G:$G)</f>
        <v>46304</v>
      </c>
      <c r="F257" s="25">
        <f>_xlfn.XLOOKUP(C:C,'[1]Reporte Flexible de Personas - '!$B:$B,'[1]Reporte Flexible de Personas - '!$I:$I)</f>
        <v>47141</v>
      </c>
      <c r="G257" s="23">
        <f>_xlfn.XLOOKUP(C:C,[2]Planilla!$C:$C,[2]Planilla!$H:$H)</f>
        <v>46683</v>
      </c>
      <c r="H257" s="23">
        <f>_xlfn.XLOOKUP(C:C,[2]Planilla!$C:$C,[2]Planilla!$I:$I)</f>
        <v>46683</v>
      </c>
      <c r="I257" s="23">
        <f>_xlfn.XLOOKUP(C:C,[2]Planilla!$C:$C,[2]Planilla!$J:$J)</f>
        <v>46037</v>
      </c>
      <c r="J257" s="23">
        <f>_xlfn.XLOOKUP(A:A,[3]Matriz!$E:$E,[3]Matriz!$FD:$FD)</f>
        <v>46388</v>
      </c>
      <c r="K257" s="23">
        <f>_xlfn.XLOOKUP(A:A,[3]Matriz!$E:$E,[3]Matriz!$FF:$FF)</f>
        <v>0</v>
      </c>
    </row>
    <row r="258" spans="1:11" x14ac:dyDescent="0.35">
      <c r="A258" s="12" t="s">
        <v>397</v>
      </c>
      <c r="B258" s="1" t="s">
        <v>398</v>
      </c>
      <c r="C258" s="1" t="s">
        <v>958</v>
      </c>
      <c r="D258" s="21">
        <f>_xlfn.XLOOKUP(C:C,'[1]Reporte Flexible de Personas - '!$B:$B,'[1]Reporte Flexible de Personas - '!$E:$E)</f>
        <v>47020</v>
      </c>
      <c r="E258" s="21">
        <f>_xlfn.XLOOKUP(C:C,'[1]Reporte Flexible de Personas - '!$B:$B,'[1]Reporte Flexible de Personas - '!$G:$G)</f>
        <v>46229</v>
      </c>
      <c r="F258" s="25">
        <f>_xlfn.XLOOKUP(C:C,'[1]Reporte Flexible de Personas - '!$B:$B,'[1]Reporte Flexible de Personas - '!$I:$I)</f>
        <v>47354</v>
      </c>
      <c r="G258" s="23" t="e">
        <f>_xlfn.XLOOKUP(C:C,[2]Planilla!$C:$C,[2]Planilla!$H:$H)</f>
        <v>#N/A</v>
      </c>
      <c r="H258" s="23" t="e">
        <f>_xlfn.XLOOKUP(C:C,[2]Planilla!$C:$C,[2]Planilla!$I:$I)</f>
        <v>#N/A</v>
      </c>
      <c r="I258" s="23" t="e">
        <f>_xlfn.XLOOKUP(C:C,[2]Planilla!$C:$C,[2]Planilla!$J:$J)</f>
        <v>#N/A</v>
      </c>
      <c r="J258" s="23">
        <f>_xlfn.XLOOKUP(A:A,[3]Matriz!$E:$E,[3]Matriz!$FD:$FD)</f>
        <v>0</v>
      </c>
      <c r="K258" s="23">
        <f>_xlfn.XLOOKUP(A:A,[3]Matriz!$E:$E,[3]Matriz!$FF:$FF)</f>
        <v>0</v>
      </c>
    </row>
    <row r="259" spans="1:11" x14ac:dyDescent="0.35">
      <c r="A259" s="12" t="s">
        <v>311</v>
      </c>
      <c r="B259" s="1" t="s">
        <v>69</v>
      </c>
      <c r="C259" s="1" t="s">
        <v>959</v>
      </c>
      <c r="D259" s="21">
        <f>_xlfn.XLOOKUP(C:C,'[1]Reporte Flexible de Personas - '!$B:$B,'[1]Reporte Flexible de Personas - '!$E:$E)</f>
        <v>46675</v>
      </c>
      <c r="E259" s="21">
        <f>_xlfn.XLOOKUP(C:C,'[1]Reporte Flexible de Personas - '!$B:$B,'[1]Reporte Flexible de Personas - '!$G:$G)</f>
        <v>46661</v>
      </c>
      <c r="F259" s="25">
        <f>_xlfn.XLOOKUP(C:C,'[1]Reporte Flexible de Personas - '!$B:$B,'[1]Reporte Flexible de Personas - '!$I:$I)</f>
        <v>47061</v>
      </c>
      <c r="G259" s="23" t="e">
        <f>_xlfn.XLOOKUP(C:C,[2]Planilla!$C:$C,[2]Planilla!$H:$H)</f>
        <v>#N/A</v>
      </c>
      <c r="H259" s="23" t="e">
        <f>_xlfn.XLOOKUP(C:C,[2]Planilla!$C:$C,[2]Planilla!$I:$I)</f>
        <v>#N/A</v>
      </c>
      <c r="I259" s="23" t="e">
        <f>_xlfn.XLOOKUP(C:C,[2]Planilla!$C:$C,[2]Planilla!$J:$J)</f>
        <v>#N/A</v>
      </c>
      <c r="J259" s="23">
        <f>_xlfn.XLOOKUP(A:A,[3]Matriz!$E:$E,[3]Matriz!$FD:$FD)</f>
        <v>0</v>
      </c>
      <c r="K259" s="23">
        <f>_xlfn.XLOOKUP(A:A,[3]Matriz!$E:$E,[3]Matriz!$FF:$FF)</f>
        <v>0</v>
      </c>
    </row>
    <row r="260" spans="1:11" x14ac:dyDescent="0.35">
      <c r="A260" s="12" t="s">
        <v>395</v>
      </c>
      <c r="B260" s="1" t="s">
        <v>123</v>
      </c>
      <c r="C260" s="1" t="s">
        <v>960</v>
      </c>
      <c r="D260" s="21">
        <f>_xlfn.XLOOKUP(C:C,'[1]Reporte Flexible de Personas - '!$B:$B,'[1]Reporte Flexible de Personas - '!$E:$E)</f>
        <v>47465</v>
      </c>
      <c r="E260" s="21">
        <f>_xlfn.XLOOKUP(C:C,'[1]Reporte Flexible de Personas - '!$B:$B,'[1]Reporte Flexible de Personas - '!$G:$G)</f>
        <v>46529</v>
      </c>
      <c r="F260" s="25">
        <f>_xlfn.XLOOKUP(C:C,'[1]Reporte Flexible de Personas - '!$B:$B,'[1]Reporte Flexible de Personas - '!$I:$I)</f>
        <v>47318</v>
      </c>
      <c r="G260" s="23">
        <f>_xlfn.XLOOKUP(C:C,[2]Planilla!$C:$C,[2]Planilla!$H:$H)</f>
        <v>46369</v>
      </c>
      <c r="H260" s="23">
        <f>_xlfn.XLOOKUP(C:C,[2]Planilla!$C:$C,[2]Planilla!$I:$I)</f>
        <v>46369</v>
      </c>
      <c r="I260" s="23">
        <f>_xlfn.XLOOKUP(C:C,[2]Planilla!$C:$C,[2]Planilla!$J:$J)</f>
        <v>46499</v>
      </c>
      <c r="J260" s="23">
        <f>_xlfn.XLOOKUP(A:A,[3]Matriz!$E:$E,[3]Matriz!$FD:$FD)</f>
        <v>0</v>
      </c>
      <c r="K260" s="23">
        <f>_xlfn.XLOOKUP(A:A,[3]Matriz!$E:$E,[3]Matriz!$FF:$FF)</f>
        <v>0</v>
      </c>
    </row>
    <row r="261" spans="1:11" x14ac:dyDescent="0.35">
      <c r="A261" s="12" t="s">
        <v>297</v>
      </c>
      <c r="B261" s="1" t="s">
        <v>70</v>
      </c>
      <c r="C261" s="1" t="s">
        <v>961</v>
      </c>
      <c r="D261" s="21">
        <f>_xlfn.XLOOKUP(C:C,'[1]Reporte Flexible de Personas - '!$B:$B,'[1]Reporte Flexible de Personas - '!$E:$E)</f>
        <v>47400</v>
      </c>
      <c r="E261" s="21">
        <f>_xlfn.XLOOKUP(C:C,'[1]Reporte Flexible de Personas - '!$B:$B,'[1]Reporte Flexible de Personas - '!$G:$G)</f>
        <v>46362</v>
      </c>
      <c r="F261" s="25">
        <f>_xlfn.XLOOKUP(C:C,'[1]Reporte Flexible de Personas - '!$B:$B,'[1]Reporte Flexible de Personas - '!$I:$I)</f>
        <v>46432</v>
      </c>
      <c r="G261" s="23">
        <f>_xlfn.XLOOKUP(C:C,[2]Planilla!$C:$C,[2]Planilla!$H:$H)</f>
        <v>46669</v>
      </c>
      <c r="H261" s="23">
        <f>_xlfn.XLOOKUP(C:C,[2]Planilla!$C:$C,[2]Planilla!$I:$I)</f>
        <v>46669</v>
      </c>
      <c r="I261" s="23">
        <f>_xlfn.XLOOKUP(C:C,[2]Planilla!$C:$C,[2]Planilla!$J:$J)</f>
        <v>47371</v>
      </c>
      <c r="J261" s="23">
        <f>_xlfn.XLOOKUP(A:A,[3]Matriz!$E:$E,[3]Matriz!$FD:$FD)</f>
        <v>0</v>
      </c>
      <c r="K261" s="23">
        <f>_xlfn.XLOOKUP(A:A,[3]Matriz!$E:$E,[3]Matriz!$FF:$FF)</f>
        <v>0</v>
      </c>
    </row>
    <row r="262" spans="1:11" x14ac:dyDescent="0.35">
      <c r="A262" s="12" t="s">
        <v>258</v>
      </c>
      <c r="B262" s="1" t="s">
        <v>259</v>
      </c>
      <c r="C262" s="1" t="s">
        <v>962</v>
      </c>
      <c r="D262" s="21">
        <f>_xlfn.XLOOKUP(C:C,'[1]Reporte Flexible de Personas - '!$B:$B,'[1]Reporte Flexible de Personas - '!$E:$E)</f>
        <v>47204</v>
      </c>
      <c r="E262" s="21">
        <f>_xlfn.XLOOKUP(C:C,'[1]Reporte Flexible de Personas - '!$B:$B,'[1]Reporte Flexible de Personas - '!$G:$G)</f>
        <v>46661</v>
      </c>
      <c r="F262" s="25">
        <f>_xlfn.XLOOKUP(C:C,'[1]Reporte Flexible de Personas - '!$B:$B,'[1]Reporte Flexible de Personas - '!$I:$I)</f>
        <v>47358</v>
      </c>
      <c r="G262" s="23">
        <f>_xlfn.XLOOKUP(C:C,[2]Planilla!$C:$C,[2]Planilla!$H:$H)</f>
        <v>47934</v>
      </c>
      <c r="H262" s="23">
        <f>_xlfn.XLOOKUP(C:C,[2]Planilla!$C:$C,[2]Planilla!$I:$I)</f>
        <v>47934</v>
      </c>
      <c r="I262" s="23">
        <f>_xlfn.XLOOKUP(C:C,[2]Planilla!$C:$C,[2]Planilla!$J:$J)</f>
        <v>47083</v>
      </c>
      <c r="J262" s="23">
        <f>_xlfn.XLOOKUP(A:A,[3]Matriz!$E:$E,[3]Matriz!$FD:$FD)</f>
        <v>0</v>
      </c>
      <c r="K262" s="23">
        <f>_xlfn.XLOOKUP(A:A,[3]Matriz!$E:$E,[3]Matriz!$FF:$FF)</f>
        <v>0</v>
      </c>
    </row>
    <row r="263" spans="1:11" x14ac:dyDescent="0.35">
      <c r="A263" s="16" t="s">
        <v>491</v>
      </c>
      <c r="B263" s="1" t="s">
        <v>192</v>
      </c>
      <c r="C263" s="1" t="s">
        <v>963</v>
      </c>
      <c r="D263" s="21">
        <f>_xlfn.XLOOKUP(C:C,'[1]Reporte Flexible de Personas - '!$B:$B,'[1]Reporte Flexible de Personas - '!$E:$E)</f>
        <v>46847</v>
      </c>
      <c r="E263" s="21">
        <f>_xlfn.XLOOKUP(C:C,'[1]Reporte Flexible de Personas - '!$B:$B,'[1]Reporte Flexible de Personas - '!$G:$G)</f>
        <v>46500</v>
      </c>
      <c r="F263" s="25">
        <f>_xlfn.XLOOKUP(C:C,'[1]Reporte Flexible de Personas - '!$B:$B,'[1]Reporte Flexible de Personas - '!$I:$I)</f>
        <v>47307</v>
      </c>
      <c r="G263" s="23">
        <f>_xlfn.XLOOKUP(C:C,[2]Planilla!$C:$C,[2]Planilla!$H:$H)</f>
        <v>46481</v>
      </c>
      <c r="H263" s="23">
        <f>_xlfn.XLOOKUP(C:C,[2]Planilla!$C:$C,[2]Planilla!$I:$I)</f>
        <v>46481</v>
      </c>
      <c r="I263" s="23">
        <f>_xlfn.XLOOKUP(C:C,[2]Planilla!$C:$C,[2]Planilla!$J:$J)</f>
        <v>46464</v>
      </c>
      <c r="J263" s="23">
        <f>_xlfn.XLOOKUP(A:A,[3]Matriz!$E:$E,[3]Matriz!$FD:$FD)</f>
        <v>46388</v>
      </c>
      <c r="K263" s="23">
        <f>_xlfn.XLOOKUP(A:A,[3]Matriz!$E:$E,[3]Matriz!$FF:$FF)</f>
        <v>0</v>
      </c>
    </row>
    <row r="264" spans="1:11" x14ac:dyDescent="0.35">
      <c r="A264" s="12" t="s">
        <v>303</v>
      </c>
      <c r="B264" s="1" t="s">
        <v>71</v>
      </c>
      <c r="C264" s="1" t="s">
        <v>964</v>
      </c>
      <c r="D264" s="21">
        <f>_xlfn.XLOOKUP(C:C,'[1]Reporte Flexible de Personas - '!$B:$B,'[1]Reporte Flexible de Personas - '!$E:$E)</f>
        <v>48036</v>
      </c>
      <c r="E264" s="21">
        <f>_xlfn.XLOOKUP(C:C,'[1]Reporte Flexible de Personas - '!$B:$B,'[1]Reporte Flexible de Personas - '!$G:$G)</f>
        <v>46599</v>
      </c>
      <c r="F264" s="25">
        <f>_xlfn.XLOOKUP(C:C,'[1]Reporte Flexible de Personas - '!$B:$B,'[1]Reporte Flexible de Personas - '!$I:$I)</f>
        <v>47247</v>
      </c>
      <c r="G264" s="23">
        <f>_xlfn.XLOOKUP(C:C,[2]Planilla!$C:$C,[2]Planilla!$H:$H)</f>
        <v>46575</v>
      </c>
      <c r="H264" s="23">
        <f>_xlfn.XLOOKUP(C:C,[2]Planilla!$C:$C,[2]Planilla!$I:$I)</f>
        <v>46575</v>
      </c>
      <c r="I264" s="23">
        <f>_xlfn.XLOOKUP(C:C,[2]Planilla!$C:$C,[2]Planilla!$J:$J)</f>
        <v>46247</v>
      </c>
      <c r="J264" s="23">
        <f>_xlfn.XLOOKUP(A:A,[3]Matriz!$E:$E,[3]Matriz!$FD:$FD)</f>
        <v>0</v>
      </c>
      <c r="K264" s="23">
        <f>_xlfn.XLOOKUP(A:A,[3]Matriz!$E:$E,[3]Matriz!$FF:$FF)</f>
        <v>0</v>
      </c>
    </row>
    <row r="265" spans="1:11" x14ac:dyDescent="0.35">
      <c r="A265" s="12" t="s">
        <v>484</v>
      </c>
      <c r="B265" s="1" t="s">
        <v>485</v>
      </c>
      <c r="C265" s="1" t="s">
        <v>965</v>
      </c>
      <c r="D265" s="21">
        <f>_xlfn.XLOOKUP(C:C,'[1]Reporte Flexible de Personas - '!$B:$B,'[1]Reporte Flexible de Personas - '!$E:$E)</f>
        <v>46619</v>
      </c>
      <c r="E265" s="21">
        <f>_xlfn.XLOOKUP(C:C,'[1]Reporte Flexible de Personas - '!$B:$B,'[1]Reporte Flexible de Personas - '!$G:$G)</f>
        <v>46780</v>
      </c>
      <c r="F265" s="25">
        <f>_xlfn.XLOOKUP(C:C,'[1]Reporte Flexible de Personas - '!$B:$B,'[1]Reporte Flexible de Personas - '!$I:$I)</f>
        <v>47544</v>
      </c>
      <c r="G265" s="23">
        <f>_xlfn.XLOOKUP(C:C,[2]Planilla!$C:$C,[2]Planilla!$H:$H)</f>
        <v>46619</v>
      </c>
      <c r="H265" s="23">
        <f>_xlfn.XLOOKUP(C:C,[2]Planilla!$C:$C,[2]Planilla!$I:$I)</f>
        <v>46619</v>
      </c>
      <c r="I265" s="23">
        <f>_xlfn.XLOOKUP(C:C,[2]Planilla!$C:$C,[2]Planilla!$J:$J)</f>
        <v>46676</v>
      </c>
      <c r="J265" s="23">
        <f>_xlfn.XLOOKUP(A:A,[3]Matriz!$E:$E,[3]Matriz!$FD:$FD)</f>
        <v>0</v>
      </c>
      <c r="K265" s="23">
        <f>_xlfn.XLOOKUP(A:A,[3]Matriz!$E:$E,[3]Matriz!$FF:$FF)</f>
        <v>46388</v>
      </c>
    </row>
    <row r="266" spans="1:11" x14ac:dyDescent="0.35">
      <c r="A266" s="12" t="s">
        <v>276</v>
      </c>
      <c r="B266" s="1" t="s">
        <v>20</v>
      </c>
      <c r="C266" s="1" t="s">
        <v>966</v>
      </c>
      <c r="D266" s="21">
        <f>_xlfn.XLOOKUP(C:C,'[1]Reporte Flexible de Personas - '!$B:$B,'[1]Reporte Flexible de Personas - '!$E:$E)</f>
        <v>46332</v>
      </c>
      <c r="E266" s="21">
        <f>_xlfn.XLOOKUP(C:C,'[1]Reporte Flexible de Personas - '!$B:$B,'[1]Reporte Flexible de Personas - '!$G:$G)</f>
        <v>46492</v>
      </c>
      <c r="F266" s="25">
        <f>_xlfn.XLOOKUP(C:C,'[1]Reporte Flexible de Personas - '!$B:$B,'[1]Reporte Flexible de Personas - '!$I:$I)</f>
        <v>47284</v>
      </c>
      <c r="G266" s="23">
        <f>_xlfn.XLOOKUP(C:C,[2]Planilla!$C:$C,[2]Planilla!$H:$H)</f>
        <v>46332</v>
      </c>
      <c r="H266" s="23">
        <f>_xlfn.XLOOKUP(C:C,[2]Planilla!$C:$C,[2]Planilla!$I:$I)</f>
        <v>46332</v>
      </c>
      <c r="I266" s="23">
        <f>_xlfn.XLOOKUP(C:C,[2]Planilla!$C:$C,[2]Planilla!$J:$J)</f>
        <v>46192</v>
      </c>
      <c r="J266" s="23">
        <f>_xlfn.XLOOKUP(A:A,[3]Matriz!$E:$E,[3]Matriz!$FD:$FD)</f>
        <v>0</v>
      </c>
      <c r="K266" s="23">
        <f>_xlfn.XLOOKUP(A:A,[3]Matriz!$E:$E,[3]Matriz!$FF:$FF)</f>
        <v>0</v>
      </c>
    </row>
    <row r="267" spans="1:11" x14ac:dyDescent="0.35">
      <c r="A267" s="12" t="s">
        <v>260</v>
      </c>
      <c r="B267" s="1" t="s">
        <v>261</v>
      </c>
      <c r="C267" s="1" t="s">
        <v>967</v>
      </c>
      <c r="D267" s="21">
        <f>_xlfn.XLOOKUP(C:C,'[1]Reporte Flexible de Personas - '!$B:$B,'[1]Reporte Flexible de Personas - '!$E:$E)</f>
        <v>47547</v>
      </c>
      <c r="E267" s="21">
        <f>_xlfn.XLOOKUP(C:C,'[1]Reporte Flexible de Personas - '!$B:$B,'[1]Reporte Flexible de Personas - '!$G:$G)</f>
        <v>46309</v>
      </c>
      <c r="F267" s="25">
        <f>_xlfn.XLOOKUP(C:C,'[1]Reporte Flexible de Personas - '!$B:$B,'[1]Reporte Flexible de Personas - '!$I:$I)</f>
        <v>46593</v>
      </c>
      <c r="G267" s="23">
        <f>_xlfn.XLOOKUP(C:C,[2]Planilla!$C:$C,[2]Planilla!$H:$H)</f>
        <v>47547</v>
      </c>
      <c r="H267" s="23">
        <f>_xlfn.XLOOKUP(C:C,[2]Planilla!$C:$C,[2]Planilla!$I:$I)</f>
        <v>46537</v>
      </c>
      <c r="I267" s="23">
        <f>_xlfn.XLOOKUP(C:C,[2]Planilla!$C:$C,[2]Planilla!$J:$J)</f>
        <v>47520</v>
      </c>
      <c r="J267" s="23">
        <f>_xlfn.XLOOKUP(A:A,[3]Matriz!$E:$E,[3]Matriz!$FD:$FD)</f>
        <v>0</v>
      </c>
      <c r="K267" s="23">
        <f>_xlfn.XLOOKUP(A:A,[3]Matriz!$E:$E,[3]Matriz!$FF:$FF)</f>
        <v>0</v>
      </c>
    </row>
    <row r="268" spans="1:11" x14ac:dyDescent="0.35">
      <c r="A268" s="12" t="s">
        <v>287</v>
      </c>
      <c r="B268" s="1" t="s">
        <v>72</v>
      </c>
      <c r="C268" s="1" t="s">
        <v>968</v>
      </c>
      <c r="D268" s="21">
        <f>_xlfn.XLOOKUP(C:C,'[1]Reporte Flexible de Personas - '!$B:$B,'[1]Reporte Flexible de Personas - '!$E:$E)</f>
        <v>47124</v>
      </c>
      <c r="E268" s="21">
        <f>_xlfn.XLOOKUP(C:C,'[1]Reporte Flexible de Personas - '!$B:$B,'[1]Reporte Flexible de Personas - '!$G:$G)</f>
        <v>46711</v>
      </c>
      <c r="F268" s="25">
        <f>_xlfn.XLOOKUP(C:C,'[1]Reporte Flexible de Personas - '!$B:$B,'[1]Reporte Flexible de Personas - '!$I:$I)</f>
        <v>47148</v>
      </c>
      <c r="G268" s="23" t="e">
        <f>_xlfn.XLOOKUP(C:C,[2]Planilla!$C:$C,[2]Planilla!$H:$H)</f>
        <v>#N/A</v>
      </c>
      <c r="H268" s="23" t="e">
        <f>_xlfn.XLOOKUP(C:C,[2]Planilla!$C:$C,[2]Planilla!$I:$I)</f>
        <v>#N/A</v>
      </c>
      <c r="I268" s="23" t="e">
        <f>_xlfn.XLOOKUP(C:C,[2]Planilla!$C:$C,[2]Planilla!$J:$J)</f>
        <v>#N/A</v>
      </c>
      <c r="J268" s="23">
        <f>_xlfn.XLOOKUP(A:A,[3]Matriz!$E:$E,[3]Matriz!$FD:$FD)</f>
        <v>0</v>
      </c>
      <c r="K268" s="23">
        <f>_xlfn.XLOOKUP(A:A,[3]Matriz!$E:$E,[3]Matriz!$FF:$FF)</f>
        <v>46388</v>
      </c>
    </row>
    <row r="269" spans="1:11" x14ac:dyDescent="0.35">
      <c r="A269" s="12" t="s">
        <v>400</v>
      </c>
      <c r="B269" s="4" t="s">
        <v>233</v>
      </c>
      <c r="C269" s="4" t="s">
        <v>969</v>
      </c>
      <c r="D269" s="21">
        <f>_xlfn.XLOOKUP(C:C,'[1]Reporte Flexible de Personas - '!$B:$B,'[1]Reporte Flexible de Personas - '!$E:$E)</f>
        <v>49001</v>
      </c>
      <c r="E269" s="21">
        <f>_xlfn.XLOOKUP(C:C,'[1]Reporte Flexible de Personas - '!$B:$B,'[1]Reporte Flexible de Personas - '!$G:$G)</f>
        <v>46760</v>
      </c>
      <c r="F269" s="25">
        <f>_xlfn.XLOOKUP(C:C,'[1]Reporte Flexible de Personas - '!$B:$B,'[1]Reporte Flexible de Personas - '!$I:$I)</f>
        <v>47174</v>
      </c>
      <c r="G269" s="23">
        <f>_xlfn.XLOOKUP(C:C,[2]Planilla!$C:$C,[2]Planilla!$H:$H)</f>
        <v>47175</v>
      </c>
      <c r="H269" s="23">
        <f>_xlfn.XLOOKUP(C:C,[2]Planilla!$C:$C,[2]Planilla!$I:$I)</f>
        <v>47175</v>
      </c>
      <c r="I269" s="23">
        <f>_xlfn.XLOOKUP(C:C,[2]Planilla!$C:$C,[2]Planilla!$J:$J)</f>
        <v>46325</v>
      </c>
      <c r="J269" s="23">
        <f>_xlfn.XLOOKUP(A:A,[3]Matriz!$E:$E,[3]Matriz!$FD:$FD)</f>
        <v>0</v>
      </c>
      <c r="K269" s="23">
        <f>_xlfn.XLOOKUP(A:A,[3]Matriz!$E:$E,[3]Matriz!$FF:$FF)</f>
        <v>0</v>
      </c>
    </row>
    <row r="270" spans="1:11" x14ac:dyDescent="0.35">
      <c r="A270" s="12" t="s">
        <v>587</v>
      </c>
      <c r="B270" s="1" t="s">
        <v>590</v>
      </c>
      <c r="C270" s="1" t="s">
        <v>970</v>
      </c>
      <c r="D270" s="21" t="e">
        <f>_xlfn.XLOOKUP(C:C,'[1]Reporte Flexible de Personas - '!$B:$B,'[1]Reporte Flexible de Personas - '!$E:$E)</f>
        <v>#N/A</v>
      </c>
      <c r="E270" s="21" t="e">
        <f>_xlfn.XLOOKUP(C:C,'[1]Reporte Flexible de Personas - '!$B:$B,'[1]Reporte Flexible de Personas - '!$G:$G)</f>
        <v>#N/A</v>
      </c>
      <c r="F270" s="25" t="e">
        <f>_xlfn.XLOOKUP(C:C,'[1]Reporte Flexible de Personas - '!$B:$B,'[1]Reporte Flexible de Personas - '!$I:$I)</f>
        <v>#N/A</v>
      </c>
      <c r="G270" s="23" t="e">
        <f>_xlfn.XLOOKUP(C:C,[2]Planilla!$C:$C,[2]Planilla!$H:$H)</f>
        <v>#N/A</v>
      </c>
      <c r="H270" s="23" t="e">
        <f>_xlfn.XLOOKUP(C:C,[2]Planilla!$C:$C,[2]Planilla!$I:$I)</f>
        <v>#N/A</v>
      </c>
      <c r="I270" s="23" t="e">
        <f>_xlfn.XLOOKUP(C:C,[2]Planilla!$C:$C,[2]Planilla!$J:$J)</f>
        <v>#N/A</v>
      </c>
      <c r="J270" s="23">
        <f>_xlfn.XLOOKUP(A:A,[3]Matriz!$E:$E,[3]Matriz!$FD:$FD)</f>
        <v>0</v>
      </c>
      <c r="K270" s="23">
        <f>_xlfn.XLOOKUP(A:A,[3]Matriz!$E:$E,[3]Matriz!$FF:$FF)</f>
        <v>0</v>
      </c>
    </row>
    <row r="271" spans="1:11" x14ac:dyDescent="0.35">
      <c r="A271" s="12" t="s">
        <v>486</v>
      </c>
      <c r="B271" s="1" t="s">
        <v>234</v>
      </c>
      <c r="C271" s="1" t="s">
        <v>971</v>
      </c>
      <c r="D271" s="21">
        <f>_xlfn.XLOOKUP(C:C,'[1]Reporte Flexible de Personas - '!$B:$B,'[1]Reporte Flexible de Personas - '!$E:$E)</f>
        <v>46764</v>
      </c>
      <c r="E271" s="21">
        <f>_xlfn.XLOOKUP(C:C,'[1]Reporte Flexible de Personas - '!$B:$B,'[1]Reporte Flexible de Personas - '!$G:$G)</f>
        <v>46654</v>
      </c>
      <c r="F271" s="25">
        <f>_xlfn.XLOOKUP(C:C,'[1]Reporte Flexible de Personas - '!$B:$B,'[1]Reporte Flexible de Personas - '!$I:$I)</f>
        <v>46663</v>
      </c>
      <c r="G271" s="23">
        <f>_xlfn.XLOOKUP(C:C,[2]Planilla!$C:$C,[2]Planilla!$H:$H)</f>
        <v>46764</v>
      </c>
      <c r="H271" s="23">
        <f>_xlfn.XLOOKUP(C:C,[2]Planilla!$C:$C,[2]Planilla!$I:$I)</f>
        <v>46764</v>
      </c>
      <c r="I271" s="23">
        <f>_xlfn.XLOOKUP(C:C,[2]Planilla!$C:$C,[2]Planilla!$J:$J)</f>
        <v>47464</v>
      </c>
      <c r="J271" s="23">
        <f>_xlfn.XLOOKUP(A:A,[3]Matriz!$E:$E,[3]Matriz!$FD:$FD)</f>
        <v>0</v>
      </c>
      <c r="K271" s="23">
        <f>_xlfn.XLOOKUP(A:A,[3]Matriz!$E:$E,[3]Matriz!$FF:$FF)</f>
        <v>0</v>
      </c>
    </row>
    <row r="272" spans="1:11" x14ac:dyDescent="0.35">
      <c r="A272" s="12" t="s">
        <v>606</v>
      </c>
      <c r="B272" s="1" t="s">
        <v>607</v>
      </c>
      <c r="C272" s="1" t="s">
        <v>972</v>
      </c>
      <c r="D272" s="21" t="e">
        <f>_xlfn.XLOOKUP(C:C,'[1]Reporte Flexible de Personas - '!$B:$B,'[1]Reporte Flexible de Personas - '!$E:$E)</f>
        <v>#N/A</v>
      </c>
      <c r="E272" s="21" t="e">
        <f>_xlfn.XLOOKUP(C:C,'[1]Reporte Flexible de Personas - '!$B:$B,'[1]Reporte Flexible de Personas - '!$G:$G)</f>
        <v>#N/A</v>
      </c>
      <c r="F272" s="25" t="e">
        <f>_xlfn.XLOOKUP(C:C,'[1]Reporte Flexible de Personas - '!$B:$B,'[1]Reporte Flexible de Personas - '!$I:$I)</f>
        <v>#N/A</v>
      </c>
      <c r="G272" s="23" t="e">
        <f>_xlfn.XLOOKUP(C:C,[2]Planilla!$C:$C,[2]Planilla!$H:$H)</f>
        <v>#N/A</v>
      </c>
      <c r="H272" s="23" t="e">
        <f>_xlfn.XLOOKUP(C:C,[2]Planilla!$C:$C,[2]Planilla!$I:$I)</f>
        <v>#N/A</v>
      </c>
      <c r="I272" s="23" t="e">
        <f>_xlfn.XLOOKUP(C:C,[2]Planilla!$C:$C,[2]Planilla!$J:$J)</f>
        <v>#N/A</v>
      </c>
      <c r="J272" s="23" t="e">
        <f>_xlfn.XLOOKUP(A:A,[3]Matriz!$E:$E,[3]Matriz!$FD:$FD)</f>
        <v>#N/A</v>
      </c>
      <c r="K272" s="23" t="e">
        <f>_xlfn.XLOOKUP(A:A,[3]Matriz!$E:$E,[3]Matriz!$FF:$FF)</f>
        <v>#N/A</v>
      </c>
    </row>
    <row r="273" spans="1:11" x14ac:dyDescent="0.35">
      <c r="A273" s="12" t="s">
        <v>291</v>
      </c>
      <c r="B273" s="1" t="s">
        <v>235</v>
      </c>
      <c r="C273" s="1" t="s">
        <v>973</v>
      </c>
      <c r="D273" s="21">
        <f>_xlfn.XLOOKUP(C:C,'[1]Reporte Flexible de Personas - '!$B:$B,'[1]Reporte Flexible de Personas - '!$E:$E)</f>
        <v>47104</v>
      </c>
      <c r="E273" s="21">
        <f>_xlfn.XLOOKUP(C:C,'[1]Reporte Flexible de Personas - '!$B:$B,'[1]Reporte Flexible de Personas - '!$G:$G)</f>
        <v>46662</v>
      </c>
      <c r="F273" s="25">
        <f>_xlfn.XLOOKUP(C:C,'[1]Reporte Flexible de Personas - '!$B:$B,'[1]Reporte Flexible de Personas - '!$I:$I)</f>
        <v>47036</v>
      </c>
      <c r="G273" s="23">
        <f>_xlfn.XLOOKUP(C:C,[2]Planilla!$C:$C,[2]Planilla!$H:$H)</f>
        <v>47469</v>
      </c>
      <c r="H273" s="23">
        <f>_xlfn.XLOOKUP(C:C,[2]Planilla!$C:$C,[2]Planilla!$I:$I)</f>
        <v>46749</v>
      </c>
      <c r="I273" s="23">
        <f>_xlfn.XLOOKUP(C:C,[2]Planilla!$C:$C,[2]Planilla!$J:$J)</f>
        <v>47580</v>
      </c>
      <c r="J273" s="23">
        <f>_xlfn.XLOOKUP(A:A,[3]Matriz!$E:$E,[3]Matriz!$FD:$FD)</f>
        <v>46388</v>
      </c>
      <c r="K273" s="23">
        <f>_xlfn.XLOOKUP(A:A,[3]Matriz!$E:$E,[3]Matriz!$FF:$FF)</f>
        <v>46388</v>
      </c>
    </row>
    <row r="274" spans="1:11" x14ac:dyDescent="0.35">
      <c r="A274" s="12" t="s">
        <v>495</v>
      </c>
      <c r="B274" s="1" t="s">
        <v>193</v>
      </c>
      <c r="C274" s="1" t="s">
        <v>974</v>
      </c>
      <c r="D274" s="21">
        <f>_xlfn.XLOOKUP(C:C,'[1]Reporte Flexible de Personas - '!$B:$B,'[1]Reporte Flexible de Personas - '!$E:$E)</f>
        <v>46540</v>
      </c>
      <c r="E274" s="21">
        <f>_xlfn.XLOOKUP(C:C,'[1]Reporte Flexible de Personas - '!$B:$B,'[1]Reporte Flexible de Personas - '!$G:$G)</f>
        <v>46558</v>
      </c>
      <c r="F274" s="25">
        <f>_xlfn.XLOOKUP(C:C,'[1]Reporte Flexible de Personas - '!$B:$B,'[1]Reporte Flexible de Personas - '!$I:$I)</f>
        <v>47307</v>
      </c>
      <c r="G274" s="23">
        <f>_xlfn.XLOOKUP(C:C,[2]Planilla!$C:$C,[2]Planilla!$H:$H)</f>
        <v>46906</v>
      </c>
      <c r="H274" s="23">
        <f>_xlfn.XLOOKUP(C:C,[2]Planilla!$C:$C,[2]Planilla!$I:$I)</f>
        <v>46906</v>
      </c>
      <c r="I274" s="23">
        <f>_xlfn.XLOOKUP(C:C,[2]Planilla!$C:$C,[2]Planilla!$J:$J)</f>
        <v>47229</v>
      </c>
      <c r="J274" s="23">
        <f>_xlfn.XLOOKUP(A:A,[3]Matriz!$E:$E,[3]Matriz!$FD:$FD)</f>
        <v>0</v>
      </c>
      <c r="K274" s="23">
        <f>_xlfn.XLOOKUP(A:A,[3]Matriz!$E:$E,[3]Matriz!$FF:$FF)</f>
        <v>0</v>
      </c>
    </row>
    <row r="275" spans="1:11" x14ac:dyDescent="0.35">
      <c r="A275" s="12" t="s">
        <v>564</v>
      </c>
      <c r="B275" s="1" t="s">
        <v>565</v>
      </c>
      <c r="C275" s="1" t="s">
        <v>975</v>
      </c>
      <c r="D275" s="21" t="e">
        <f>_xlfn.XLOOKUP(C:C,'[1]Reporte Flexible de Personas - '!$B:$B,'[1]Reporte Flexible de Personas - '!$E:$E)</f>
        <v>#N/A</v>
      </c>
      <c r="E275" s="21" t="e">
        <f>_xlfn.XLOOKUP(C:C,'[1]Reporte Flexible de Personas - '!$B:$B,'[1]Reporte Flexible de Personas - '!$G:$G)</f>
        <v>#N/A</v>
      </c>
      <c r="F275" s="25" t="e">
        <f>_xlfn.XLOOKUP(C:C,'[1]Reporte Flexible de Personas - '!$B:$B,'[1]Reporte Flexible de Personas - '!$I:$I)</f>
        <v>#N/A</v>
      </c>
      <c r="G275" s="23" t="e">
        <f>_xlfn.XLOOKUP(C:C,[2]Planilla!$C:$C,[2]Planilla!$H:$H)</f>
        <v>#N/A</v>
      </c>
      <c r="H275" s="23" t="e">
        <f>_xlfn.XLOOKUP(C:C,[2]Planilla!$C:$C,[2]Planilla!$I:$I)</f>
        <v>#N/A</v>
      </c>
      <c r="I275" s="23" t="e">
        <f>_xlfn.XLOOKUP(C:C,[2]Planilla!$C:$C,[2]Planilla!$J:$J)</f>
        <v>#N/A</v>
      </c>
      <c r="J275" s="23">
        <f>_xlfn.XLOOKUP(A:A,[3]Matriz!$E:$E,[3]Matriz!$FD:$FD)</f>
        <v>0</v>
      </c>
      <c r="K275" s="23">
        <f>_xlfn.XLOOKUP(A:A,[3]Matriz!$E:$E,[3]Matriz!$FF:$FF)</f>
        <v>0</v>
      </c>
    </row>
    <row r="276" spans="1:11" x14ac:dyDescent="0.35">
      <c r="A276" s="14" t="s">
        <v>277</v>
      </c>
      <c r="B276" s="1" t="s">
        <v>28</v>
      </c>
      <c r="C276" s="1" t="s">
        <v>976</v>
      </c>
      <c r="D276" s="21">
        <f>_xlfn.XLOOKUP(C:C,'[1]Reporte Flexible de Personas - '!$B:$B,'[1]Reporte Flexible de Personas - '!$E:$E)</f>
        <v>47099</v>
      </c>
      <c r="E276" s="21">
        <f>_xlfn.XLOOKUP(C:C,'[1]Reporte Flexible de Personas - '!$B:$B,'[1]Reporte Flexible de Personas - '!$G:$G)</f>
        <v>47090</v>
      </c>
      <c r="F276" s="25">
        <f>_xlfn.XLOOKUP(C:C,'[1]Reporte Flexible de Personas - '!$B:$B,'[1]Reporte Flexible de Personas - '!$I:$I)</f>
        <v>47571</v>
      </c>
      <c r="G276" s="23" t="e">
        <f>_xlfn.XLOOKUP(C:C,[2]Planilla!$C:$C,[2]Planilla!$H:$H)</f>
        <v>#N/A</v>
      </c>
      <c r="H276" s="23" t="e">
        <f>_xlfn.XLOOKUP(C:C,[2]Planilla!$C:$C,[2]Planilla!$I:$I)</f>
        <v>#N/A</v>
      </c>
      <c r="I276" s="23" t="e">
        <f>_xlfn.XLOOKUP(C:C,[2]Planilla!$C:$C,[2]Planilla!$J:$J)</f>
        <v>#N/A</v>
      </c>
      <c r="J276" s="23">
        <f>_xlfn.XLOOKUP(A:A,[3]Matriz!$E:$E,[3]Matriz!$FD:$FD)</f>
        <v>0</v>
      </c>
      <c r="K276" s="23">
        <f>_xlfn.XLOOKUP(A:A,[3]Matriz!$E:$E,[3]Matriz!$FF:$FF)</f>
        <v>0</v>
      </c>
    </row>
    <row r="277" spans="1:11" x14ac:dyDescent="0.35">
      <c r="A277" s="12" t="s">
        <v>262</v>
      </c>
      <c r="B277" s="1" t="s">
        <v>5</v>
      </c>
      <c r="C277" s="1" t="s">
        <v>977</v>
      </c>
      <c r="D277" s="21">
        <f>_xlfn.XLOOKUP(C:C,'[1]Reporte Flexible de Personas - '!$B:$B,'[1]Reporte Flexible de Personas - '!$E:$E)</f>
        <v>47292</v>
      </c>
      <c r="E277" s="21">
        <f>_xlfn.XLOOKUP(C:C,'[1]Reporte Flexible de Personas - '!$B:$B,'[1]Reporte Flexible de Personas - '!$G:$G)</f>
        <v>46938</v>
      </c>
      <c r="F277" s="25">
        <f>_xlfn.XLOOKUP(C:C,'[1]Reporte Flexible de Personas - '!$B:$B,'[1]Reporte Flexible de Personas - '!$I:$I)</f>
        <v>47437</v>
      </c>
      <c r="G277" s="23" t="e">
        <f>_xlfn.XLOOKUP(C:C,[2]Planilla!$C:$C,[2]Planilla!$H:$H)</f>
        <v>#N/A</v>
      </c>
      <c r="H277" s="23" t="e">
        <f>_xlfn.XLOOKUP(C:C,[2]Planilla!$C:$C,[2]Planilla!$I:$I)</f>
        <v>#N/A</v>
      </c>
      <c r="I277" s="23" t="e">
        <f>_xlfn.XLOOKUP(C:C,[2]Planilla!$C:$C,[2]Planilla!$J:$J)</f>
        <v>#N/A</v>
      </c>
      <c r="J277" s="23">
        <f>_xlfn.XLOOKUP(A:A,[3]Matriz!$E:$E,[3]Matriz!$FD:$FD)</f>
        <v>0</v>
      </c>
      <c r="K277" s="23">
        <f>_xlfn.XLOOKUP(A:A,[3]Matriz!$E:$E,[3]Matriz!$FF:$FF)</f>
        <v>0</v>
      </c>
    </row>
    <row r="278" spans="1:11" x14ac:dyDescent="0.35">
      <c r="A278" s="12" t="s">
        <v>344</v>
      </c>
      <c r="B278" s="1" t="s">
        <v>236</v>
      </c>
      <c r="C278" s="1" t="s">
        <v>978</v>
      </c>
      <c r="D278" s="21">
        <f>_xlfn.XLOOKUP(C:C,'[1]Reporte Flexible de Personas - '!$B:$B,'[1]Reporte Flexible de Personas - '!$E:$E)</f>
        <v>47909</v>
      </c>
      <c r="E278" s="21">
        <f>_xlfn.XLOOKUP(C:C,'[1]Reporte Flexible de Personas - '!$B:$B,'[1]Reporte Flexible de Personas - '!$G:$G)</f>
        <v>46724</v>
      </c>
      <c r="F278" s="25">
        <f>_xlfn.XLOOKUP(C:C,'[1]Reporte Flexible de Personas - '!$B:$B,'[1]Reporte Flexible de Personas - '!$I:$I)</f>
        <v>47191</v>
      </c>
      <c r="G278" s="23" t="e">
        <f>_xlfn.XLOOKUP(C:C,[2]Planilla!$C:$C,[2]Planilla!$H:$H)</f>
        <v>#N/A</v>
      </c>
      <c r="H278" s="23" t="e">
        <f>_xlfn.XLOOKUP(C:C,[2]Planilla!$C:$C,[2]Planilla!$I:$I)</f>
        <v>#N/A</v>
      </c>
      <c r="I278" s="23" t="e">
        <f>_xlfn.XLOOKUP(C:C,[2]Planilla!$C:$C,[2]Planilla!$J:$J)</f>
        <v>#N/A</v>
      </c>
      <c r="J278" s="23">
        <f>_xlfn.XLOOKUP(A:A,[3]Matriz!$E:$E,[3]Matriz!$FD:$FD)</f>
        <v>45125</v>
      </c>
      <c r="K278" s="23">
        <f>_xlfn.XLOOKUP(A:A,[3]Matriz!$E:$E,[3]Matriz!$FF:$FF)</f>
        <v>46388</v>
      </c>
    </row>
    <row r="279" spans="1:11" x14ac:dyDescent="0.35">
      <c r="A279" s="12" t="s">
        <v>295</v>
      </c>
      <c r="B279" s="1" t="s">
        <v>76</v>
      </c>
      <c r="C279" s="1" t="s">
        <v>979</v>
      </c>
      <c r="D279" s="21">
        <f>_xlfn.XLOOKUP(C:C,'[1]Reporte Flexible de Personas - '!$B:$B,'[1]Reporte Flexible de Personas - '!$E:$E)</f>
        <v>48160</v>
      </c>
      <c r="E279" s="21">
        <f>_xlfn.XLOOKUP(C:C,'[1]Reporte Flexible de Personas - '!$B:$B,'[1]Reporte Flexible de Personas - '!$G:$G)</f>
        <v>46256</v>
      </c>
      <c r="F279" s="25">
        <f>_xlfn.XLOOKUP(C:C,'[1]Reporte Flexible de Personas - '!$B:$B,'[1]Reporte Flexible de Personas - '!$I:$I)</f>
        <v>47367</v>
      </c>
      <c r="G279" s="23" t="e">
        <f>_xlfn.XLOOKUP(C:C,[2]Planilla!$C:$C,[2]Planilla!$H:$H)</f>
        <v>#N/A</v>
      </c>
      <c r="H279" s="23" t="e">
        <f>_xlfn.XLOOKUP(C:C,[2]Planilla!$C:$C,[2]Planilla!$I:$I)</f>
        <v>#N/A</v>
      </c>
      <c r="I279" s="23" t="e">
        <f>_xlfn.XLOOKUP(C:C,[2]Planilla!$C:$C,[2]Planilla!$J:$J)</f>
        <v>#N/A</v>
      </c>
      <c r="J279" s="23">
        <f>_xlfn.XLOOKUP(A:A,[3]Matriz!$E:$E,[3]Matriz!$FD:$FD)</f>
        <v>0</v>
      </c>
      <c r="K279" s="23">
        <f>_xlfn.XLOOKUP(A:A,[3]Matriz!$E:$E,[3]Matriz!$FF:$FF)</f>
        <v>0</v>
      </c>
    </row>
    <row r="280" spans="1:11" x14ac:dyDescent="0.35">
      <c r="A280" s="12" t="s">
        <v>482</v>
      </c>
      <c r="B280" s="1" t="s">
        <v>483</v>
      </c>
      <c r="C280" s="1" t="s">
        <v>980</v>
      </c>
      <c r="D280" s="21">
        <f>_xlfn.XLOOKUP(C:C,'[1]Reporte Flexible de Personas - '!$B:$B,'[1]Reporte Flexible de Personas - '!$E:$E)</f>
        <v>47804</v>
      </c>
      <c r="E280" s="21">
        <f>_xlfn.XLOOKUP(C:C,'[1]Reporte Flexible de Personas - '!$B:$B,'[1]Reporte Flexible de Personas - '!$G:$G)</f>
        <v>47062</v>
      </c>
      <c r="F280" s="25">
        <f>_xlfn.XLOOKUP(C:C,'[1]Reporte Flexible de Personas - '!$B:$B,'[1]Reporte Flexible de Personas - '!$I:$I)</f>
        <v>46726</v>
      </c>
      <c r="G280" s="23">
        <f>_xlfn.XLOOKUP(C:C,[2]Planilla!$C:$C,[2]Planilla!$H:$H)</f>
        <v>46708</v>
      </c>
      <c r="H280" s="23">
        <f>_xlfn.XLOOKUP(C:C,[2]Planilla!$C:$C,[2]Planilla!$I:$I)</f>
        <v>46708</v>
      </c>
      <c r="I280" s="23">
        <f>_xlfn.XLOOKUP(C:C,[2]Planilla!$C:$C,[2]Planilla!$J:$J)</f>
        <v>47385</v>
      </c>
      <c r="J280" s="23">
        <f>_xlfn.XLOOKUP(A:A,[3]Matriz!$E:$E,[3]Matriz!$FD:$FD)</f>
        <v>0</v>
      </c>
      <c r="K280" s="23">
        <f>_xlfn.XLOOKUP(A:A,[3]Matriz!$E:$E,[3]Matriz!$FF:$FF)</f>
        <v>0</v>
      </c>
    </row>
    <row r="281" spans="1:11" x14ac:dyDescent="0.35">
      <c r="A281" s="14" t="s">
        <v>458</v>
      </c>
      <c r="B281" s="1" t="s">
        <v>124</v>
      </c>
      <c r="C281" s="1" t="s">
        <v>981</v>
      </c>
      <c r="D281" s="21">
        <f>_xlfn.XLOOKUP(C:C,'[1]Reporte Flexible de Personas - '!$B:$B,'[1]Reporte Flexible de Personas - '!$E:$E)</f>
        <v>46847</v>
      </c>
      <c r="E281" s="21">
        <f>_xlfn.XLOOKUP(C:C,'[1]Reporte Flexible de Personas - '!$B:$B,'[1]Reporte Flexible de Personas - '!$G:$G)</f>
        <v>46815</v>
      </c>
      <c r="F281" s="25">
        <f>_xlfn.XLOOKUP(C:C,'[1]Reporte Flexible de Personas - '!$B:$B,'[1]Reporte Flexible de Personas - '!$I:$I)</f>
        <v>47144</v>
      </c>
      <c r="G281" s="23" t="e">
        <f>_xlfn.XLOOKUP(C:C,[2]Planilla!$C:$C,[2]Planilla!$H:$H)</f>
        <v>#N/A</v>
      </c>
      <c r="H281" s="23" t="e">
        <f>_xlfn.XLOOKUP(C:C,[2]Planilla!$C:$C,[2]Planilla!$I:$I)</f>
        <v>#N/A</v>
      </c>
      <c r="I281" s="23" t="e">
        <f>_xlfn.XLOOKUP(C:C,[2]Planilla!$C:$C,[2]Planilla!$J:$J)</f>
        <v>#N/A</v>
      </c>
      <c r="J281" s="23">
        <f>_xlfn.XLOOKUP(A:A,[3]Matriz!$E:$E,[3]Matriz!$FD:$FD)</f>
        <v>0</v>
      </c>
      <c r="K281" s="23">
        <f>_xlfn.XLOOKUP(A:A,[3]Matriz!$E:$E,[3]Matriz!$FF:$FF)</f>
        <v>0</v>
      </c>
    </row>
    <row r="282" spans="1:11" x14ac:dyDescent="0.35">
      <c r="A282" s="12" t="s">
        <v>556</v>
      </c>
      <c r="B282" s="1" t="s">
        <v>557</v>
      </c>
      <c r="C282" s="1" t="s">
        <v>982</v>
      </c>
      <c r="D282" s="21" t="e">
        <f>_xlfn.XLOOKUP(C:C,'[1]Reporte Flexible de Personas - '!$B:$B,'[1]Reporte Flexible de Personas - '!$E:$E)</f>
        <v>#N/A</v>
      </c>
      <c r="E282" s="21" t="e">
        <f>_xlfn.XLOOKUP(C:C,'[1]Reporte Flexible de Personas - '!$B:$B,'[1]Reporte Flexible de Personas - '!$G:$G)</f>
        <v>#N/A</v>
      </c>
      <c r="F282" s="25" t="e">
        <f>_xlfn.XLOOKUP(C:C,'[1]Reporte Flexible de Personas - '!$B:$B,'[1]Reporte Flexible de Personas - '!$I:$I)</f>
        <v>#N/A</v>
      </c>
      <c r="G282" s="23" t="e">
        <f>_xlfn.XLOOKUP(C:C,[2]Planilla!$C:$C,[2]Planilla!$H:$H)</f>
        <v>#N/A</v>
      </c>
      <c r="H282" s="23" t="e">
        <f>_xlfn.XLOOKUP(C:C,[2]Planilla!$C:$C,[2]Planilla!$I:$I)</f>
        <v>#N/A</v>
      </c>
      <c r="I282" s="23" t="e">
        <f>_xlfn.XLOOKUP(C:C,[2]Planilla!$C:$C,[2]Planilla!$J:$J)</f>
        <v>#N/A</v>
      </c>
      <c r="J282" s="23">
        <f>_xlfn.XLOOKUP(A:A,[3]Matriz!$E:$E,[3]Matriz!$FD:$FD)</f>
        <v>0</v>
      </c>
      <c r="K282" s="23">
        <f>_xlfn.XLOOKUP(A:A,[3]Matriz!$E:$E,[3]Matriz!$FF:$FF)</f>
        <v>0</v>
      </c>
    </row>
    <row r="283" spans="1:11" x14ac:dyDescent="0.35">
      <c r="A283" s="12" t="s">
        <v>447</v>
      </c>
      <c r="B283" s="1" t="s">
        <v>73</v>
      </c>
      <c r="C283" s="1" t="s">
        <v>983</v>
      </c>
      <c r="D283" s="21">
        <f>_xlfn.XLOOKUP(C:C,'[1]Reporte Flexible de Personas - '!$B:$B,'[1]Reporte Flexible de Personas - '!$E:$E)</f>
        <v>48641</v>
      </c>
      <c r="E283" s="21">
        <f>_xlfn.XLOOKUP(C:C,'[1]Reporte Flexible de Personas - '!$B:$B,'[1]Reporte Flexible de Personas - '!$G:$G)</f>
        <v>46170</v>
      </c>
      <c r="F283" s="25">
        <f>_xlfn.XLOOKUP(C:C,'[1]Reporte Flexible de Personas - '!$B:$B,'[1]Reporte Flexible de Personas - '!$I:$I)</f>
        <v>47202</v>
      </c>
      <c r="G283" s="23" t="e">
        <f>_xlfn.XLOOKUP(C:C,[2]Planilla!$C:$C,[2]Planilla!$H:$H)</f>
        <v>#N/A</v>
      </c>
      <c r="H283" s="23" t="e">
        <f>_xlfn.XLOOKUP(C:C,[2]Planilla!$C:$C,[2]Planilla!$I:$I)</f>
        <v>#N/A</v>
      </c>
      <c r="I283" s="23" t="e">
        <f>_xlfn.XLOOKUP(C:C,[2]Planilla!$C:$C,[2]Planilla!$J:$J)</f>
        <v>#N/A</v>
      </c>
      <c r="J283" s="23">
        <f>_xlfn.XLOOKUP(A:A,[3]Matriz!$E:$E,[3]Matriz!$FD:$FD)</f>
        <v>0</v>
      </c>
      <c r="K283" s="23">
        <f>_xlfn.XLOOKUP(A:A,[3]Matriz!$E:$E,[3]Matriz!$FF:$FF)</f>
        <v>0</v>
      </c>
    </row>
    <row r="284" spans="1:11" x14ac:dyDescent="0.35">
      <c r="A284" s="12" t="s">
        <v>596</v>
      </c>
      <c r="B284" s="1" t="s">
        <v>597</v>
      </c>
      <c r="C284" s="1" t="s">
        <v>984</v>
      </c>
      <c r="D284" s="21">
        <f>_xlfn.XLOOKUP(C:C,'[1]Reporte Flexible de Personas - '!$B:$B,'[1]Reporte Flexible de Personas - '!$E:$E)</f>
        <v>46550</v>
      </c>
      <c r="E284" s="21">
        <f>_xlfn.XLOOKUP(C:C,'[1]Reporte Flexible de Personas - '!$B:$B,'[1]Reporte Flexible de Personas - '!$G:$G)</f>
        <v>46706</v>
      </c>
      <c r="F284" s="25">
        <f>_xlfn.XLOOKUP(C:C,'[1]Reporte Flexible de Personas - '!$B:$B,'[1]Reporte Flexible de Personas - '!$I:$I)</f>
        <v>47123</v>
      </c>
      <c r="G284" s="23" t="e">
        <f>_xlfn.XLOOKUP(C:C,[2]Planilla!$C:$C,[2]Planilla!$H:$H)</f>
        <v>#N/A</v>
      </c>
      <c r="H284" s="23" t="e">
        <f>_xlfn.XLOOKUP(C:C,[2]Planilla!$C:$C,[2]Planilla!$I:$I)</f>
        <v>#N/A</v>
      </c>
      <c r="I284" s="23" t="e">
        <f>_xlfn.XLOOKUP(C:C,[2]Planilla!$C:$C,[2]Planilla!$J:$J)</f>
        <v>#N/A</v>
      </c>
      <c r="J284" s="23" t="e">
        <f>_xlfn.XLOOKUP(A:A,[3]Matriz!$E:$E,[3]Matriz!$FD:$FD)</f>
        <v>#N/A</v>
      </c>
      <c r="K284" s="23" t="e">
        <f>_xlfn.XLOOKUP(A:A,[3]Matriz!$E:$E,[3]Matriz!$FF:$FF)</f>
        <v>#N/A</v>
      </c>
    </row>
    <row r="285" spans="1:11" x14ac:dyDescent="0.35">
      <c r="A285" s="12" t="s">
        <v>516</v>
      </c>
      <c r="B285" s="1" t="s">
        <v>125</v>
      </c>
      <c r="C285" s="1" t="s">
        <v>985</v>
      </c>
      <c r="D285" s="21">
        <f>_xlfn.XLOOKUP(C:C,'[1]Reporte Flexible de Personas - '!$B:$B,'[1]Reporte Flexible de Personas - '!$E:$E)</f>
        <v>48437</v>
      </c>
      <c r="E285" s="21">
        <f>_xlfn.XLOOKUP(C:C,'[1]Reporte Flexible de Personas - '!$B:$B,'[1]Reporte Flexible de Personas - '!$G:$G)</f>
        <v>46387</v>
      </c>
      <c r="F285" s="25">
        <f>_xlfn.XLOOKUP(C:C,'[1]Reporte Flexible de Personas - '!$B:$B,'[1]Reporte Flexible de Personas - '!$I:$I)</f>
        <v>47003</v>
      </c>
      <c r="G285" s="23">
        <f>_xlfn.XLOOKUP(C:C,[2]Planilla!$C:$C,[2]Planilla!$H:$H)</f>
        <v>46976</v>
      </c>
      <c r="H285" s="23">
        <f>_xlfn.XLOOKUP(C:C,[2]Planilla!$C:$C,[2]Planilla!$I:$I)</f>
        <v>46976</v>
      </c>
      <c r="I285" s="23">
        <f>_xlfn.XLOOKUP(C:C,[2]Planilla!$C:$C,[2]Planilla!$J:$J)</f>
        <v>46491</v>
      </c>
      <c r="J285" s="23">
        <f>_xlfn.XLOOKUP(A:A,[3]Matriz!$E:$E,[3]Matriz!$FD:$FD)</f>
        <v>0</v>
      </c>
      <c r="K285" s="23">
        <f>_xlfn.XLOOKUP(A:A,[3]Matriz!$E:$E,[3]Matriz!$FF:$FF)</f>
        <v>46388</v>
      </c>
    </row>
    <row r="286" spans="1:11" x14ac:dyDescent="0.35">
      <c r="A286" s="12" t="s">
        <v>370</v>
      </c>
      <c r="B286" s="1" t="s">
        <v>591</v>
      </c>
      <c r="C286" s="1" t="s">
        <v>986</v>
      </c>
      <c r="D286" s="21">
        <f>_xlfn.XLOOKUP(C:C,'[1]Reporte Flexible de Personas - '!$B:$B,'[1]Reporte Flexible de Personas - '!$E:$E)</f>
        <v>46771</v>
      </c>
      <c r="E286" s="21">
        <f>_xlfn.XLOOKUP(C:C,'[1]Reporte Flexible de Personas - '!$B:$B,'[1]Reporte Flexible de Personas - '!$G:$G)</f>
        <v>46768</v>
      </c>
      <c r="F286" s="25">
        <f>_xlfn.XLOOKUP(C:C,'[1]Reporte Flexible de Personas - '!$B:$B,'[1]Reporte Flexible de Personas - '!$I:$I)</f>
        <v>47594</v>
      </c>
      <c r="G286" s="23" t="e">
        <f>_xlfn.XLOOKUP(C:C,[2]Planilla!$C:$C,[2]Planilla!$H:$H)</f>
        <v>#N/A</v>
      </c>
      <c r="H286" s="23" t="e">
        <f>_xlfn.XLOOKUP(C:C,[2]Planilla!$C:$C,[2]Planilla!$I:$I)</f>
        <v>#N/A</v>
      </c>
      <c r="I286" s="23" t="e">
        <f>_xlfn.XLOOKUP(C:C,[2]Planilla!$C:$C,[2]Planilla!$J:$J)</f>
        <v>#N/A</v>
      </c>
      <c r="J286" s="23">
        <f>_xlfn.XLOOKUP(A:A,[3]Matriz!$E:$E,[3]Matriz!$FD:$FD)</f>
        <v>0</v>
      </c>
      <c r="K286" s="23">
        <f>_xlfn.XLOOKUP(A:A,[3]Matriz!$E:$E,[3]Matriz!$FF:$FF)</f>
        <v>0</v>
      </c>
    </row>
    <row r="287" spans="1:11" x14ac:dyDescent="0.35">
      <c r="A287" s="12" t="s">
        <v>588</v>
      </c>
      <c r="B287" s="1" t="s">
        <v>586</v>
      </c>
      <c r="C287" s="1" t="s">
        <v>987</v>
      </c>
      <c r="D287" s="21" t="e">
        <f>_xlfn.XLOOKUP(C:C,'[1]Reporte Flexible de Personas - '!$B:$B,'[1]Reporte Flexible de Personas - '!$E:$E)</f>
        <v>#N/A</v>
      </c>
      <c r="E287" s="21" t="e">
        <f>_xlfn.XLOOKUP(C:C,'[1]Reporte Flexible de Personas - '!$B:$B,'[1]Reporte Flexible de Personas - '!$G:$G)</f>
        <v>#N/A</v>
      </c>
      <c r="F287" s="25" t="e">
        <f>_xlfn.XLOOKUP(C:C,'[1]Reporte Flexible de Personas - '!$B:$B,'[1]Reporte Flexible de Personas - '!$I:$I)</f>
        <v>#N/A</v>
      </c>
      <c r="G287" s="23" t="e">
        <f>_xlfn.XLOOKUP(C:C,[2]Planilla!$C:$C,[2]Planilla!$H:$H)</f>
        <v>#N/A</v>
      </c>
      <c r="H287" s="23" t="e">
        <f>_xlfn.XLOOKUP(C:C,[2]Planilla!$C:$C,[2]Planilla!$I:$I)</f>
        <v>#N/A</v>
      </c>
      <c r="I287" s="23" t="e">
        <f>_xlfn.XLOOKUP(C:C,[2]Planilla!$C:$C,[2]Planilla!$J:$J)</f>
        <v>#N/A</v>
      </c>
      <c r="J287" s="23">
        <f>_xlfn.XLOOKUP(A:A,[3]Matriz!$E:$E,[3]Matriz!$FD:$FD)</f>
        <v>0</v>
      </c>
      <c r="K287" s="23">
        <f>_xlfn.XLOOKUP(A:A,[3]Matriz!$E:$E,[3]Matriz!$FF:$FF)</f>
        <v>0</v>
      </c>
    </row>
    <row r="288" spans="1:11" x14ac:dyDescent="0.35">
      <c r="A288" s="12" t="s">
        <v>399</v>
      </c>
      <c r="B288" s="1" t="s">
        <v>144</v>
      </c>
      <c r="C288" s="1" t="s">
        <v>988</v>
      </c>
      <c r="D288" s="21">
        <f>_xlfn.XLOOKUP(C:C,'[1]Reporte Flexible de Personas - '!$B:$B,'[1]Reporte Flexible de Personas - '!$E:$E)</f>
        <v>47172</v>
      </c>
      <c r="E288" s="21">
        <f>_xlfn.XLOOKUP(C:C,'[1]Reporte Flexible de Personas - '!$B:$B,'[1]Reporte Flexible de Personas - '!$G:$G)</f>
        <v>46228</v>
      </c>
      <c r="F288" s="25">
        <f>_xlfn.XLOOKUP(C:C,'[1]Reporte Flexible de Personas - '!$B:$B,'[1]Reporte Flexible de Personas - '!$I:$I)</f>
        <v>47353</v>
      </c>
      <c r="G288" s="23" t="e">
        <f>_xlfn.XLOOKUP(C:C,[2]Planilla!$C:$C,[2]Planilla!$H:$H)</f>
        <v>#N/A</v>
      </c>
      <c r="H288" s="23" t="e">
        <f>_xlfn.XLOOKUP(C:C,[2]Planilla!$C:$C,[2]Planilla!$I:$I)</f>
        <v>#N/A</v>
      </c>
      <c r="I288" s="23" t="e">
        <f>_xlfn.XLOOKUP(C:C,[2]Planilla!$C:$C,[2]Planilla!$J:$J)</f>
        <v>#N/A</v>
      </c>
      <c r="J288" s="23">
        <f>_xlfn.XLOOKUP(A:A,[3]Matriz!$E:$E,[3]Matriz!$FD:$FD)</f>
        <v>0</v>
      </c>
      <c r="K288" s="23">
        <f>_xlfn.XLOOKUP(A:A,[3]Matriz!$E:$E,[3]Matriz!$FF:$FF)</f>
        <v>0</v>
      </c>
    </row>
    <row r="289" spans="1:11" x14ac:dyDescent="0.35">
      <c r="A289" s="14" t="s">
        <v>278</v>
      </c>
      <c r="B289" s="1" t="s">
        <v>598</v>
      </c>
      <c r="C289" s="1" t="s">
        <v>989</v>
      </c>
      <c r="D289" s="21">
        <f>_xlfn.XLOOKUP(C:C,'[1]Reporte Flexible de Personas - '!$B:$B,'[1]Reporte Flexible de Personas - '!$E:$E)</f>
        <v>47791</v>
      </c>
      <c r="E289" s="21">
        <f>_xlfn.XLOOKUP(C:C,'[1]Reporte Flexible de Personas - '!$B:$B,'[1]Reporte Flexible de Personas - '!$G:$G)</f>
        <v>46591</v>
      </c>
      <c r="F289" s="25">
        <f>_xlfn.XLOOKUP(C:C,'[1]Reporte Flexible de Personas - '!$B:$B,'[1]Reporte Flexible de Personas - '!$I:$I)</f>
        <v>47327</v>
      </c>
      <c r="G289" s="23">
        <f>_xlfn.XLOOKUP(C:C,[2]Planilla!$C:$C,[2]Planilla!$H:$H)</f>
        <v>46695</v>
      </c>
      <c r="H289" s="23">
        <f>_xlfn.XLOOKUP(C:C,[2]Planilla!$C:$C,[2]Planilla!$I:$I)</f>
        <v>46695</v>
      </c>
      <c r="I289" s="23">
        <f>_xlfn.XLOOKUP(C:C,[2]Planilla!$C:$C,[2]Planilla!$J:$J)</f>
        <v>47596</v>
      </c>
      <c r="J289" s="23">
        <f>_xlfn.XLOOKUP(A:A,[3]Matriz!$E:$E,[3]Matriz!$FD:$FD)</f>
        <v>0</v>
      </c>
      <c r="K289" s="23">
        <f>_xlfn.XLOOKUP(A:A,[3]Matriz!$E:$E,[3]Matriz!$FF:$FF)</f>
        <v>0</v>
      </c>
    </row>
    <row r="290" spans="1:11" x14ac:dyDescent="0.35">
      <c r="A290" s="12" t="s">
        <v>279</v>
      </c>
      <c r="B290" s="1" t="s">
        <v>26</v>
      </c>
      <c r="C290" s="1" t="s">
        <v>990</v>
      </c>
      <c r="D290" s="21">
        <f>_xlfn.XLOOKUP(C:C,'[1]Reporte Flexible de Personas - '!$B:$B,'[1]Reporte Flexible de Personas - '!$E:$E)</f>
        <v>48878</v>
      </c>
      <c r="E290" s="21">
        <f>_xlfn.XLOOKUP(C:C,'[1]Reporte Flexible de Personas - '!$B:$B,'[1]Reporte Flexible de Personas - '!$G:$G)</f>
        <v>46332</v>
      </c>
      <c r="F290" s="25">
        <f>_xlfn.XLOOKUP(C:C,'[1]Reporte Flexible de Personas - '!$B:$B,'[1]Reporte Flexible de Personas - '!$I:$I)</f>
        <v>47165</v>
      </c>
      <c r="G290" s="23" t="e">
        <f>_xlfn.XLOOKUP(C:C,[2]Planilla!$C:$C,[2]Planilla!$H:$H)</f>
        <v>#N/A</v>
      </c>
      <c r="H290" s="23" t="e">
        <f>_xlfn.XLOOKUP(C:C,[2]Planilla!$C:$C,[2]Planilla!$I:$I)</f>
        <v>#N/A</v>
      </c>
      <c r="I290" s="23" t="e">
        <f>_xlfn.XLOOKUP(C:C,[2]Planilla!$C:$C,[2]Planilla!$J:$J)</f>
        <v>#N/A</v>
      </c>
      <c r="J290" s="23">
        <f>_xlfn.XLOOKUP(A:A,[3]Matriz!$E:$E,[3]Matriz!$FD:$FD)</f>
        <v>0</v>
      </c>
      <c r="K290" s="23">
        <f>_xlfn.XLOOKUP(A:A,[3]Matriz!$E:$E,[3]Matriz!$FF:$FF)</f>
        <v>0</v>
      </c>
    </row>
    <row r="291" spans="1:11" x14ac:dyDescent="0.35">
      <c r="A291" s="12" t="s">
        <v>360</v>
      </c>
      <c r="B291" s="1" t="s">
        <v>126</v>
      </c>
      <c r="C291" s="1" t="s">
        <v>991</v>
      </c>
      <c r="D291" s="21">
        <f>_xlfn.XLOOKUP(C:C,'[1]Reporte Flexible de Personas - '!$B:$B,'[1]Reporte Flexible de Personas - '!$E:$E)</f>
        <v>47568</v>
      </c>
      <c r="E291" s="21">
        <f>_xlfn.XLOOKUP(C:C,'[1]Reporte Flexible de Personas - '!$B:$B,'[1]Reporte Flexible de Personas - '!$G:$G)</f>
        <v>46844</v>
      </c>
      <c r="F291" s="25">
        <f>_xlfn.XLOOKUP(C:C,'[1]Reporte Flexible de Personas - '!$B:$B,'[1]Reporte Flexible de Personas - '!$I:$I)</f>
        <v>47558</v>
      </c>
      <c r="G291" s="23">
        <f>_xlfn.XLOOKUP(C:C,[2]Planilla!$C:$C,[2]Planilla!$H:$H)</f>
        <v>46472</v>
      </c>
      <c r="H291" s="23">
        <f>_xlfn.XLOOKUP(C:C,[2]Planilla!$C:$C,[2]Planilla!$I:$I)</f>
        <v>46472</v>
      </c>
      <c r="I291" s="23">
        <f>_xlfn.XLOOKUP(C:C,[2]Planilla!$C:$C,[2]Planilla!$J:$J)</f>
        <v>46429</v>
      </c>
      <c r="J291" s="23">
        <f>_xlfn.XLOOKUP(A:A,[3]Matriz!$E:$E,[3]Matriz!$FD:$FD)</f>
        <v>46388</v>
      </c>
      <c r="K291" s="23">
        <f>_xlfn.XLOOKUP(A:A,[3]Matriz!$E:$E,[3]Matriz!$FF:$FF)</f>
        <v>46388</v>
      </c>
    </row>
    <row r="292" spans="1:11" x14ac:dyDescent="0.35">
      <c r="A292" s="14" t="s">
        <v>439</v>
      </c>
      <c r="B292" s="1" t="s">
        <v>127</v>
      </c>
      <c r="C292" s="1" t="s">
        <v>992</v>
      </c>
      <c r="D292" s="21">
        <f>_xlfn.XLOOKUP(C:C,'[1]Reporte Flexible de Personas - '!$B:$B,'[1]Reporte Flexible de Personas - '!$E:$E)</f>
        <v>46657</v>
      </c>
      <c r="E292" s="21">
        <f>_xlfn.XLOOKUP(C:C,'[1]Reporte Flexible de Personas - '!$B:$B,'[1]Reporte Flexible de Personas - '!$G:$G)</f>
        <v>46265</v>
      </c>
      <c r="F292" s="25">
        <f>_xlfn.XLOOKUP(C:C,'[1]Reporte Flexible de Personas - '!$B:$B,'[1]Reporte Flexible de Personas - '!$I:$I)</f>
        <v>47200</v>
      </c>
      <c r="G292" s="23" t="e">
        <f>_xlfn.XLOOKUP(C:C,[2]Planilla!$C:$C,[2]Planilla!$H:$H)</f>
        <v>#N/A</v>
      </c>
      <c r="H292" s="23" t="e">
        <f>_xlfn.XLOOKUP(C:C,[2]Planilla!$C:$C,[2]Planilla!$I:$I)</f>
        <v>#N/A</v>
      </c>
      <c r="I292" s="23" t="e">
        <f>_xlfn.XLOOKUP(C:C,[2]Planilla!$C:$C,[2]Planilla!$J:$J)</f>
        <v>#N/A</v>
      </c>
      <c r="J292" s="23">
        <f>_xlfn.XLOOKUP(A:A,[3]Matriz!$E:$E,[3]Matriz!$FD:$FD)</f>
        <v>0</v>
      </c>
      <c r="K292" s="23">
        <f>_xlfn.XLOOKUP(A:A,[3]Matriz!$E:$E,[3]Matriz!$FF:$FF)</f>
        <v>46388</v>
      </c>
    </row>
    <row r="293" spans="1:11" x14ac:dyDescent="0.35">
      <c r="A293" s="12" t="s">
        <v>553</v>
      </c>
      <c r="B293" s="1" t="s">
        <v>554</v>
      </c>
      <c r="C293" s="1" t="s">
        <v>993</v>
      </c>
      <c r="D293" s="21" t="e">
        <f>_xlfn.XLOOKUP(C:C,'[1]Reporte Flexible de Personas - '!$B:$B,'[1]Reporte Flexible de Personas - '!$E:$E)</f>
        <v>#N/A</v>
      </c>
      <c r="E293" s="21" t="e">
        <f>_xlfn.XLOOKUP(C:C,'[1]Reporte Flexible de Personas - '!$B:$B,'[1]Reporte Flexible de Personas - '!$G:$G)</f>
        <v>#N/A</v>
      </c>
      <c r="F293" s="25" t="e">
        <f>_xlfn.XLOOKUP(C:C,'[1]Reporte Flexible de Personas - '!$B:$B,'[1]Reporte Flexible de Personas - '!$I:$I)</f>
        <v>#N/A</v>
      </c>
      <c r="G293" s="23" t="e">
        <f>_xlfn.XLOOKUP(C:C,[2]Planilla!$C:$C,[2]Planilla!$H:$H)</f>
        <v>#N/A</v>
      </c>
      <c r="H293" s="23" t="e">
        <f>_xlfn.XLOOKUP(C:C,[2]Planilla!$C:$C,[2]Planilla!$I:$I)</f>
        <v>#N/A</v>
      </c>
      <c r="I293" s="23" t="e">
        <f>_xlfn.XLOOKUP(C:C,[2]Planilla!$C:$C,[2]Planilla!$J:$J)</f>
        <v>#N/A</v>
      </c>
      <c r="J293" s="23">
        <f>_xlfn.XLOOKUP(A:A,[3]Matriz!$E:$E,[3]Matriz!$FD:$FD)</f>
        <v>0</v>
      </c>
      <c r="K293" s="23">
        <f>_xlfn.XLOOKUP(A:A,[3]Matriz!$E:$E,[3]Matriz!$FF:$FF)</f>
        <v>0</v>
      </c>
    </row>
    <row r="294" spans="1:11" x14ac:dyDescent="0.35">
      <c r="A294" s="12" t="s">
        <v>487</v>
      </c>
      <c r="B294" s="1" t="s">
        <v>488</v>
      </c>
      <c r="C294" s="1" t="s">
        <v>994</v>
      </c>
      <c r="D294" s="21">
        <f>_xlfn.XLOOKUP(C:C,'[1]Reporte Flexible de Personas - '!$B:$B,'[1]Reporte Flexible de Personas - '!$E:$E)</f>
        <v>46294</v>
      </c>
      <c r="E294" s="21">
        <f>_xlfn.XLOOKUP(C:C,'[1]Reporte Flexible de Personas - '!$B:$B,'[1]Reporte Flexible de Personas - '!$G:$G)</f>
        <v>46886</v>
      </c>
      <c r="F294" s="25">
        <f>_xlfn.XLOOKUP(C:C,'[1]Reporte Flexible de Personas - '!$B:$B,'[1]Reporte Flexible de Personas - '!$I:$I)</f>
        <v>46348</v>
      </c>
      <c r="G294" s="23">
        <f>_xlfn.XLOOKUP(C:C,[2]Planilla!$C:$C,[2]Planilla!$H:$H)</f>
        <v>46294</v>
      </c>
      <c r="H294" s="23">
        <f>_xlfn.XLOOKUP(C:C,[2]Planilla!$C:$C,[2]Planilla!$I:$I)</f>
        <v>46294</v>
      </c>
      <c r="I294" s="23">
        <f>_xlfn.XLOOKUP(C:C,[2]Planilla!$C:$C,[2]Planilla!$J:$J)</f>
        <v>46587</v>
      </c>
      <c r="J294" s="23">
        <f>_xlfn.XLOOKUP(A:A,[3]Matriz!$E:$E,[3]Matriz!$FD:$FD)</f>
        <v>0</v>
      </c>
      <c r="K294" s="23">
        <f>_xlfn.XLOOKUP(A:A,[3]Matriz!$E:$E,[3]Matriz!$FF:$FF)</f>
        <v>46388</v>
      </c>
    </row>
    <row r="295" spans="1:11" x14ac:dyDescent="0.35">
      <c r="A295" s="12" t="s">
        <v>501</v>
      </c>
      <c r="B295" s="1" t="s">
        <v>74</v>
      </c>
      <c r="C295" s="1" t="s">
        <v>995</v>
      </c>
      <c r="D295" s="21">
        <f>_xlfn.XLOOKUP(C:C,'[1]Reporte Flexible de Personas - '!$B:$B,'[1]Reporte Flexible de Personas - '!$E:$E)</f>
        <v>47655</v>
      </c>
      <c r="E295" s="21">
        <f>_xlfn.XLOOKUP(C:C,'[1]Reporte Flexible de Personas - '!$B:$B,'[1]Reporte Flexible de Personas - '!$G:$G)</f>
        <v>46966</v>
      </c>
      <c r="F295" s="25">
        <f>_xlfn.XLOOKUP(C:C,'[1]Reporte Flexible de Personas - '!$B:$B,'[1]Reporte Flexible de Personas - '!$I:$I)</f>
        <v>46633</v>
      </c>
      <c r="G295" s="23" t="e">
        <f>_xlfn.XLOOKUP(C:C,[2]Planilla!$C:$C,[2]Planilla!$H:$H)</f>
        <v>#N/A</v>
      </c>
      <c r="H295" s="23" t="e">
        <f>_xlfn.XLOOKUP(C:C,[2]Planilla!$C:$C,[2]Planilla!$I:$I)</f>
        <v>#N/A</v>
      </c>
      <c r="I295" s="23" t="e">
        <f>_xlfn.XLOOKUP(C:C,[2]Planilla!$C:$C,[2]Planilla!$J:$J)</f>
        <v>#N/A</v>
      </c>
      <c r="J295" s="23">
        <f>_xlfn.XLOOKUP(A:A,[3]Matriz!$E:$E,[3]Matriz!$FD:$FD)</f>
        <v>46388</v>
      </c>
      <c r="K295" s="23">
        <f>_xlfn.XLOOKUP(A:A,[3]Matriz!$E:$E,[3]Matriz!$FF:$FF)</f>
        <v>0</v>
      </c>
    </row>
    <row r="296" spans="1:11" x14ac:dyDescent="0.35">
      <c r="A296" s="14" t="s">
        <v>330</v>
      </c>
      <c r="B296" s="1" t="s">
        <v>21</v>
      </c>
      <c r="C296" s="1" t="s">
        <v>996</v>
      </c>
      <c r="D296" s="21">
        <f>_xlfn.XLOOKUP(C:C,'[1]Reporte Flexible de Personas - '!$B:$B,'[1]Reporte Flexible de Personas - '!$E:$E)</f>
        <v>47408</v>
      </c>
      <c r="E296" s="21">
        <f>_xlfn.XLOOKUP(C:C,'[1]Reporte Flexible de Personas - '!$B:$B,'[1]Reporte Flexible de Personas - '!$G:$G)</f>
        <v>46631</v>
      </c>
      <c r="F296" s="25">
        <f>_xlfn.XLOOKUP(C:C,'[1]Reporte Flexible de Personas - '!$B:$B,'[1]Reporte Flexible de Personas - '!$I:$I)</f>
        <v>47194</v>
      </c>
      <c r="G296" s="23" t="e">
        <f>_xlfn.XLOOKUP(C:C,[2]Planilla!$C:$C,[2]Planilla!$H:$H)</f>
        <v>#N/A</v>
      </c>
      <c r="H296" s="23" t="e">
        <f>_xlfn.XLOOKUP(C:C,[2]Planilla!$C:$C,[2]Planilla!$I:$I)</f>
        <v>#N/A</v>
      </c>
      <c r="I296" s="23" t="e">
        <f>_xlfn.XLOOKUP(C:C,[2]Planilla!$C:$C,[2]Planilla!$J:$J)</f>
        <v>#N/A</v>
      </c>
      <c r="J296" s="23">
        <f>_xlfn.XLOOKUP(A:A,[3]Matriz!$E:$E,[3]Matriz!$FD:$FD)</f>
        <v>0</v>
      </c>
      <c r="K296" s="23">
        <f>_xlfn.XLOOKUP(A:A,[3]Matriz!$E:$E,[3]Matriz!$FF:$FF)</f>
        <v>0</v>
      </c>
    </row>
    <row r="297" spans="1:11" x14ac:dyDescent="0.35">
      <c r="A297" s="12" t="s">
        <v>358</v>
      </c>
      <c r="B297" s="1" t="s">
        <v>237</v>
      </c>
      <c r="C297" s="1" t="s">
        <v>997</v>
      </c>
      <c r="D297" s="21">
        <f>_xlfn.XLOOKUP(C:C,'[1]Reporte Flexible de Personas - '!$B:$B,'[1]Reporte Flexible de Personas - '!$E:$E)</f>
        <v>48873</v>
      </c>
      <c r="E297" s="21">
        <f>_xlfn.XLOOKUP(C:C,'[1]Reporte Flexible de Personas - '!$B:$B,'[1]Reporte Flexible de Personas - '!$G:$G)</f>
        <v>47604</v>
      </c>
      <c r="F297" s="25">
        <f>_xlfn.XLOOKUP(C:C,'[1]Reporte Flexible de Personas - '!$B:$B,'[1]Reporte Flexible de Personas - '!$I:$I)</f>
        <v>47489</v>
      </c>
      <c r="G297" s="23">
        <f>_xlfn.XLOOKUP(C:C,[2]Planilla!$C:$C,[2]Planilla!$H:$H)</f>
        <v>47412</v>
      </c>
      <c r="H297" s="23">
        <f>_xlfn.XLOOKUP(C:C,[2]Planilla!$C:$C,[2]Planilla!$I:$I)</f>
        <v>47412</v>
      </c>
      <c r="I297" s="23">
        <f>_xlfn.XLOOKUP(C:C,[2]Planilla!$C:$C,[2]Planilla!$J:$J)</f>
        <v>46189</v>
      </c>
      <c r="J297" s="23">
        <f>_xlfn.XLOOKUP(A:A,[3]Matriz!$E:$E,[3]Matriz!$FD:$FD)</f>
        <v>46388</v>
      </c>
      <c r="K297" s="23">
        <f>_xlfn.XLOOKUP(A:A,[3]Matriz!$E:$E,[3]Matriz!$FF:$FF)</f>
        <v>0</v>
      </c>
    </row>
    <row r="298" spans="1:11" x14ac:dyDescent="0.35">
      <c r="A298" s="12" t="s">
        <v>402</v>
      </c>
      <c r="B298" s="1" t="s">
        <v>548</v>
      </c>
      <c r="C298" s="1" t="s">
        <v>998</v>
      </c>
      <c r="D298" s="21" t="e">
        <f>_xlfn.XLOOKUP(C:C,'[1]Reporte Flexible de Personas - '!$B:$B,'[1]Reporte Flexible de Personas - '!$E:$E)</f>
        <v>#N/A</v>
      </c>
      <c r="E298" s="21" t="e">
        <f>_xlfn.XLOOKUP(C:C,'[1]Reporte Flexible de Personas - '!$B:$B,'[1]Reporte Flexible de Personas - '!$G:$G)</f>
        <v>#N/A</v>
      </c>
      <c r="F298" s="25" t="e">
        <f>_xlfn.XLOOKUP(C:C,'[1]Reporte Flexible de Personas - '!$B:$B,'[1]Reporte Flexible de Personas - '!$I:$I)</f>
        <v>#N/A</v>
      </c>
      <c r="G298" s="23">
        <f>_xlfn.XLOOKUP(C:C,[2]Planilla!$C:$C,[2]Planilla!$H:$H)</f>
        <v>47864</v>
      </c>
      <c r="H298" s="23">
        <f>_xlfn.XLOOKUP(C:C,[2]Planilla!$C:$C,[2]Planilla!$I:$I)</f>
        <v>46129</v>
      </c>
      <c r="I298" s="23">
        <f>_xlfn.XLOOKUP(C:C,[2]Planilla!$C:$C,[2]Planilla!$J:$J)</f>
        <v>47490</v>
      </c>
      <c r="J298" s="23">
        <f>_xlfn.XLOOKUP(A:A,[3]Matriz!$E:$E,[3]Matriz!$FD:$FD)</f>
        <v>0</v>
      </c>
      <c r="K298" s="23">
        <f>_xlfn.XLOOKUP(A:A,[3]Matriz!$E:$E,[3]Matriz!$FF:$FF)</f>
        <v>0</v>
      </c>
    </row>
    <row r="299" spans="1:11" x14ac:dyDescent="0.35">
      <c r="A299" s="12" t="s">
        <v>505</v>
      </c>
      <c r="B299" s="1" t="s">
        <v>238</v>
      </c>
      <c r="C299" s="1" t="s">
        <v>999</v>
      </c>
      <c r="D299" s="21">
        <f>_xlfn.XLOOKUP(C:C,'[1]Reporte Flexible de Personas - '!$B:$B,'[1]Reporte Flexible de Personas - '!$E:$E)</f>
        <v>47316</v>
      </c>
      <c r="E299" s="21">
        <f>_xlfn.XLOOKUP(C:C,'[1]Reporte Flexible de Personas - '!$B:$B,'[1]Reporte Flexible de Personas - '!$G:$G)</f>
        <v>46817</v>
      </c>
      <c r="F299" s="25">
        <f>_xlfn.XLOOKUP(C:C,'[1]Reporte Flexible de Personas - '!$B:$B,'[1]Reporte Flexible de Personas - '!$I:$I)</f>
        <v>47001</v>
      </c>
      <c r="G299" s="23">
        <f>_xlfn.XLOOKUP(C:C,[2]Planilla!$C:$C,[2]Planilla!$H:$H)</f>
        <v>46585</v>
      </c>
      <c r="H299" s="23">
        <f>_xlfn.XLOOKUP(C:C,[2]Planilla!$C:$C,[2]Planilla!$I:$I)</f>
        <v>46585</v>
      </c>
      <c r="I299" s="23">
        <f>_xlfn.XLOOKUP(C:C,[2]Planilla!$C:$C,[2]Planilla!$J:$J)</f>
        <v>46203</v>
      </c>
      <c r="J299" s="23">
        <f>_xlfn.XLOOKUP(A:A,[3]Matriz!$E:$E,[3]Matriz!$FD:$FD)</f>
        <v>0</v>
      </c>
      <c r="K299" s="23">
        <f>_xlfn.XLOOKUP(A:A,[3]Matriz!$E:$E,[3]Matriz!$FF:$FF)</f>
        <v>0</v>
      </c>
    </row>
    <row r="300" spans="1:11" x14ac:dyDescent="0.35">
      <c r="A300" s="12" t="s">
        <v>310</v>
      </c>
      <c r="B300" s="1" t="s">
        <v>75</v>
      </c>
      <c r="C300" s="1" t="s">
        <v>1000</v>
      </c>
      <c r="D300" s="21">
        <f>_xlfn.XLOOKUP(C:C,'[1]Reporte Flexible de Personas - '!$B:$B,'[1]Reporte Flexible de Personas - '!$E:$E)</f>
        <v>47339</v>
      </c>
      <c r="E300" s="21">
        <f>_xlfn.XLOOKUP(C:C,'[1]Reporte Flexible de Personas - '!$B:$B,'[1]Reporte Flexible de Personas - '!$G:$G)</f>
        <v>46348</v>
      </c>
      <c r="F300" s="25">
        <f>_xlfn.XLOOKUP(C:C,'[1]Reporte Flexible de Personas - '!$B:$B,'[1]Reporte Flexible de Personas - '!$I:$I)</f>
        <v>47219</v>
      </c>
      <c r="G300" s="23" t="e">
        <f>_xlfn.XLOOKUP(C:C,[2]Planilla!$C:$C,[2]Planilla!$H:$H)</f>
        <v>#N/A</v>
      </c>
      <c r="H300" s="23" t="e">
        <f>_xlfn.XLOOKUP(C:C,[2]Planilla!$C:$C,[2]Planilla!$I:$I)</f>
        <v>#N/A</v>
      </c>
      <c r="I300" s="23" t="e">
        <f>_xlfn.XLOOKUP(C:C,[2]Planilla!$C:$C,[2]Planilla!$J:$J)</f>
        <v>#N/A</v>
      </c>
      <c r="J300" s="23">
        <f>_xlfn.XLOOKUP(A:A,[3]Matriz!$E:$E,[3]Matriz!$FD:$FD)</f>
        <v>0</v>
      </c>
      <c r="K300" s="23">
        <f>_xlfn.XLOOKUP(A:A,[3]Matriz!$E:$E,[3]Matriz!$FF:$FF)</f>
        <v>0</v>
      </c>
    </row>
    <row r="301" spans="1:11" x14ac:dyDescent="0.35">
      <c r="A301" s="12" t="s">
        <v>401</v>
      </c>
      <c r="B301" s="1" t="s">
        <v>141</v>
      </c>
      <c r="C301" s="1" t="s">
        <v>1001</v>
      </c>
      <c r="D301" s="21">
        <f>_xlfn.XLOOKUP(C:C,'[1]Reporte Flexible de Personas - '!$B:$B,'[1]Reporte Flexible de Personas - '!$E:$E)</f>
        <v>49236</v>
      </c>
      <c r="E301" s="21">
        <f>_xlfn.XLOOKUP(C:C,'[1]Reporte Flexible de Personas - '!$B:$B,'[1]Reporte Flexible de Personas - '!$G:$G)</f>
        <v>46821</v>
      </c>
      <c r="F301" s="25">
        <f>_xlfn.XLOOKUP(C:C,'[1]Reporte Flexible de Personas - '!$B:$B,'[1]Reporte Flexible de Personas - '!$I:$I)</f>
        <v>46841</v>
      </c>
      <c r="G301" s="23">
        <f>_xlfn.XLOOKUP(C:C,[2]Planilla!$C:$C,[2]Planilla!$H:$H)</f>
        <v>46679</v>
      </c>
      <c r="H301" s="23">
        <f>_xlfn.XLOOKUP(C:C,[2]Planilla!$C:$C,[2]Planilla!$I:$I)</f>
        <v>46679</v>
      </c>
      <c r="I301" s="23">
        <f>_xlfn.XLOOKUP(C:C,[2]Planilla!$C:$C,[2]Planilla!$J:$J)</f>
        <v>46307</v>
      </c>
      <c r="J301" s="23">
        <f>_xlfn.XLOOKUP(A:A,[3]Matriz!$E:$E,[3]Matriz!$FD:$FD)</f>
        <v>0</v>
      </c>
      <c r="K301" s="23">
        <f>_xlfn.XLOOKUP(A:A,[3]Matriz!$E:$E,[3]Matriz!$FF:$FF)</f>
        <v>0</v>
      </c>
    </row>
    <row r="302" spans="1:11" x14ac:dyDescent="0.35">
      <c r="A302" s="12" t="s">
        <v>577</v>
      </c>
      <c r="B302" s="11" t="s">
        <v>241</v>
      </c>
      <c r="C302" s="11" t="s">
        <v>1002</v>
      </c>
      <c r="D302" s="21" t="e">
        <f>_xlfn.XLOOKUP(C:C,'[1]Reporte Flexible de Personas - '!$B:$B,'[1]Reporte Flexible de Personas - '!$E:$E)</f>
        <v>#N/A</v>
      </c>
      <c r="E302" s="21" t="e">
        <f>_xlfn.XLOOKUP(C:C,'[1]Reporte Flexible de Personas - '!$B:$B,'[1]Reporte Flexible de Personas - '!$G:$G)</f>
        <v>#N/A</v>
      </c>
      <c r="F302" s="25" t="e">
        <f>_xlfn.XLOOKUP(C:C,'[1]Reporte Flexible de Personas - '!$B:$B,'[1]Reporte Flexible de Personas - '!$I:$I)</f>
        <v>#N/A</v>
      </c>
      <c r="G302" s="23" t="e">
        <f>_xlfn.XLOOKUP(C:C,[2]Planilla!$C:$C,[2]Planilla!$H:$H)</f>
        <v>#N/A</v>
      </c>
      <c r="H302" s="23" t="e">
        <f>_xlfn.XLOOKUP(C:C,[2]Planilla!$C:$C,[2]Planilla!$I:$I)</f>
        <v>#N/A</v>
      </c>
      <c r="I302" s="23" t="e">
        <f>_xlfn.XLOOKUP(C:C,[2]Planilla!$C:$C,[2]Planilla!$J:$J)</f>
        <v>#N/A</v>
      </c>
      <c r="J302" s="23">
        <f>_xlfn.XLOOKUP(A:A,[3]Matriz!$E:$E,[3]Matriz!$FD:$FD)</f>
        <v>0</v>
      </c>
      <c r="K302" s="23">
        <f>_xlfn.XLOOKUP(A:A,[3]Matriz!$E:$E,[3]Matriz!$FF:$FF)</f>
        <v>0</v>
      </c>
    </row>
    <row r="303" spans="1:11" x14ac:dyDescent="0.35">
      <c r="A303" s="12" t="s">
        <v>594</v>
      </c>
      <c r="B303" s="1" t="s">
        <v>595</v>
      </c>
      <c r="C303" s="1" t="s">
        <v>1003</v>
      </c>
      <c r="D303" s="21">
        <f>_xlfn.XLOOKUP(C:C,'[1]Reporte Flexible de Personas - '!$B:$B,'[1]Reporte Flexible de Personas - '!$E:$E)</f>
        <v>46635</v>
      </c>
      <c r="E303" s="21">
        <f>_xlfn.XLOOKUP(C:C,'[1]Reporte Flexible de Personas - '!$B:$B,'[1]Reporte Flexible de Personas - '!$G:$G)</f>
        <v>47272</v>
      </c>
      <c r="F303" s="25">
        <f>_xlfn.XLOOKUP(C:C,'[1]Reporte Flexible de Personas - '!$B:$B,'[1]Reporte Flexible de Personas - '!$I:$I)</f>
        <v>46930</v>
      </c>
      <c r="G303" s="23" t="e">
        <f>_xlfn.XLOOKUP(C:C,[2]Planilla!$C:$C,[2]Planilla!$H:$H)</f>
        <v>#N/A</v>
      </c>
      <c r="H303" s="23" t="e">
        <f>_xlfn.XLOOKUP(C:C,[2]Planilla!$C:$C,[2]Planilla!$I:$I)</f>
        <v>#N/A</v>
      </c>
      <c r="I303" s="23" t="e">
        <f>_xlfn.XLOOKUP(C:C,[2]Planilla!$C:$C,[2]Planilla!$J:$J)</f>
        <v>#N/A</v>
      </c>
      <c r="J303" s="23">
        <f>_xlfn.XLOOKUP(A:A,[3]Matriz!$E:$E,[3]Matriz!$FD:$FD)</f>
        <v>0</v>
      </c>
      <c r="K303" s="23">
        <f>_xlfn.XLOOKUP(A:A,[3]Matriz!$E:$E,[3]Matriz!$FF:$FF)</f>
        <v>0</v>
      </c>
    </row>
    <row r="304" spans="1:11" x14ac:dyDescent="0.35">
      <c r="A304" s="12" t="s">
        <v>354</v>
      </c>
      <c r="B304" s="1" t="s">
        <v>22</v>
      </c>
      <c r="C304" s="1" t="s">
        <v>1004</v>
      </c>
      <c r="D304" s="21">
        <f>_xlfn.XLOOKUP(C:C,'[1]Reporte Flexible de Personas - '!$B:$B,'[1]Reporte Flexible de Personas - '!$E:$E)</f>
        <v>46361</v>
      </c>
      <c r="E304" s="21">
        <f>_xlfn.XLOOKUP(C:C,'[1]Reporte Flexible de Personas - '!$B:$B,'[1]Reporte Flexible de Personas - '!$G:$G)</f>
        <v>46759</v>
      </c>
      <c r="F304" s="25">
        <f>_xlfn.XLOOKUP(C:C,'[1]Reporte Flexible de Personas - '!$B:$B,'[1]Reporte Flexible de Personas - '!$I:$I)</f>
        <v>47131</v>
      </c>
      <c r="G304" s="23" t="e">
        <f>_xlfn.XLOOKUP(C:C,[2]Planilla!$C:$C,[2]Planilla!$H:$H)</f>
        <v>#N/A</v>
      </c>
      <c r="H304" s="23" t="e">
        <f>_xlfn.XLOOKUP(C:C,[2]Planilla!$C:$C,[2]Planilla!$I:$I)</f>
        <v>#N/A</v>
      </c>
      <c r="I304" s="23" t="e">
        <f>_xlfn.XLOOKUP(C:C,[2]Planilla!$C:$C,[2]Planilla!$J:$J)</f>
        <v>#N/A</v>
      </c>
      <c r="J304" s="23">
        <f>_xlfn.XLOOKUP(A:A,[3]Matriz!$E:$E,[3]Matriz!$FD:$FD)</f>
        <v>0</v>
      </c>
      <c r="K304" s="23">
        <f>_xlfn.XLOOKUP(A:A,[3]Matriz!$E:$E,[3]Matriz!$FF:$FF)</f>
        <v>0</v>
      </c>
    </row>
    <row r="305" spans="1:11" x14ac:dyDescent="0.35">
      <c r="A305" s="12" t="s">
        <v>332</v>
      </c>
      <c r="B305" s="1" t="s">
        <v>194</v>
      </c>
      <c r="C305" s="1" t="s">
        <v>1005</v>
      </c>
      <c r="D305" s="21">
        <f>_xlfn.XLOOKUP(C:C,'[1]Reporte Flexible de Personas - '!$B:$B,'[1]Reporte Flexible de Personas - '!$E:$E)</f>
        <v>47889</v>
      </c>
      <c r="E305" s="21">
        <f>_xlfn.XLOOKUP(C:C,'[1]Reporte Flexible de Personas - '!$B:$B,'[1]Reporte Flexible de Personas - '!$G:$G)</f>
        <v>46949</v>
      </c>
      <c r="F305" s="25">
        <f>_xlfn.XLOOKUP(C:C,'[1]Reporte Flexible de Personas - '!$B:$B,'[1]Reporte Flexible de Personas - '!$I:$I)</f>
        <v>47450</v>
      </c>
      <c r="G305" s="23" t="e">
        <f>_xlfn.XLOOKUP(C:C,[2]Planilla!$C:$C,[2]Planilla!$H:$H)</f>
        <v>#N/A</v>
      </c>
      <c r="H305" s="23" t="e">
        <f>_xlfn.XLOOKUP(C:C,[2]Planilla!$C:$C,[2]Planilla!$I:$I)</f>
        <v>#N/A</v>
      </c>
      <c r="I305" s="23" t="e">
        <f>_xlfn.XLOOKUP(C:C,[2]Planilla!$C:$C,[2]Planilla!$J:$J)</f>
        <v>#N/A</v>
      </c>
      <c r="J305" s="23">
        <f>_xlfn.XLOOKUP(A:A,[3]Matriz!$E:$E,[3]Matriz!$FD:$FD)</f>
        <v>0</v>
      </c>
      <c r="K305" s="23">
        <f>_xlfn.XLOOKUP(A:A,[3]Matriz!$E:$E,[3]Matriz!$FF:$FF)</f>
        <v>0</v>
      </c>
    </row>
    <row r="306" spans="1:11" x14ac:dyDescent="0.35">
      <c r="A306" s="19" t="s">
        <v>375</v>
      </c>
      <c r="B306" s="7" t="s">
        <v>195</v>
      </c>
      <c r="C306" s="7" t="s">
        <v>1006</v>
      </c>
      <c r="D306" s="22">
        <f>_xlfn.XLOOKUP(C:C,'[1]Reporte Flexible de Personas - '!$B:$B,'[1]Reporte Flexible de Personas - '!$E:$E)</f>
        <v>48123</v>
      </c>
      <c r="E306" s="22">
        <f>_xlfn.XLOOKUP(C:C,'[1]Reporte Flexible de Personas - '!$B:$B,'[1]Reporte Flexible de Personas - '!$G:$G)</f>
        <v>46774</v>
      </c>
      <c r="F306" s="26">
        <f>_xlfn.XLOOKUP(C:C,'[1]Reporte Flexible de Personas - '!$B:$B,'[1]Reporte Flexible de Personas - '!$I:$I)</f>
        <v>47164</v>
      </c>
      <c r="G306" s="23" t="e">
        <f>_xlfn.XLOOKUP(C:C,[2]Planilla!$C:$C,[2]Planilla!$H:$H)</f>
        <v>#N/A</v>
      </c>
      <c r="H306" s="23" t="e">
        <f>_xlfn.XLOOKUP(C:C,[2]Planilla!$C:$C,[2]Planilla!$I:$I)</f>
        <v>#N/A</v>
      </c>
      <c r="I306" s="23" t="e">
        <f>_xlfn.XLOOKUP(C:C,[2]Planilla!$C:$C,[2]Planilla!$J:$J)</f>
        <v>#N/A</v>
      </c>
      <c r="J306" s="23">
        <f>_xlfn.XLOOKUP(A:A,[3]Matriz!$E:$E,[3]Matriz!$FD:$FD)</f>
        <v>0</v>
      </c>
      <c r="K306" s="23">
        <f>_xlfn.XLOOKUP(A:A,[3]Matriz!$E:$E,[3]Matriz!$FF:$FF)</f>
        <v>0</v>
      </c>
    </row>
  </sheetData>
  <conditionalFormatting sqref="A2:A30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E3E709-2AE9-430B-BC51-7F5B2C056D0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8be8688-6625-4e52-80d8-c17f3a9ae08a}" enabled="0" method="" siteId="{58be8688-6625-4e52-80d8-c17f3a9ae0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ACREDITACIONES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   YAMPARA GONZALEZ</dc:creator>
  <cp:keywords/>
  <dc:description/>
  <cp:lastModifiedBy>CRISTOPHER ALFREDO   BRAVO BRUNA</cp:lastModifiedBy>
  <cp:revision/>
  <dcterms:created xsi:type="dcterms:W3CDTF">2025-06-18T19:14:55Z</dcterms:created>
  <dcterms:modified xsi:type="dcterms:W3CDTF">2026-06-09T02:53:21Z</dcterms:modified>
  <cp:category/>
  <cp:contentStatus/>
</cp:coreProperties>
</file>