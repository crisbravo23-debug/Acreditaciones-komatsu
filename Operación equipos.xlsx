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0" documentId="8_{CD520AAF-B615-4BDC-BD8B-19D1FD395DFE}" xr6:coauthVersionLast="47" xr6:coauthVersionMax="47" xr10:uidLastSave="{00000000-0000-0000-0000-000000000000}"/>
  <bookViews>
    <workbookView xWindow="-110" yWindow="-110" windowWidth="19420" windowHeight="11500" xr2:uid="{794FB005-0CB4-4BF4-9CF7-6DDB93171249}"/>
  </bookViews>
  <sheets>
    <sheet name="CAEX 930E-980E5" sheetId="2" r:id="rId1"/>
    <sheet name="Hoja1" sheetId="1" r:id="rId2"/>
  </sheets>
  <externalReferences>
    <externalReference r:id="rId3"/>
  </externalReferences>
  <definedNames>
    <definedName name="_xlnm._FilterDatabase" localSheetId="0" hidden="1">'CAEX 930E-980E5'!$A$1:$E$306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D3" i="2"/>
  <c r="E3" i="2"/>
  <c r="D4" i="2"/>
  <c r="C5" i="2"/>
  <c r="D5" i="2"/>
  <c r="D6" i="2"/>
  <c r="C7" i="2"/>
  <c r="D7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E33" i="2"/>
  <c r="C34" i="2"/>
  <c r="D34" i="2"/>
  <c r="E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E51" i="2"/>
  <c r="C52" i="2"/>
  <c r="D52" i="2"/>
  <c r="C53" i="2"/>
  <c r="D53" i="2"/>
  <c r="C54" i="2"/>
  <c r="D54" i="2"/>
  <c r="C55" i="2"/>
  <c r="D55" i="2"/>
  <c r="C56" i="2"/>
  <c r="D56" i="2"/>
  <c r="C57" i="2"/>
  <c r="D57" i="2"/>
  <c r="E57" i="2"/>
  <c r="C58" i="2"/>
  <c r="D58" i="2"/>
  <c r="C59" i="2"/>
  <c r="D59" i="2"/>
  <c r="C60" i="2"/>
  <c r="D60" i="2"/>
  <c r="C61" i="2"/>
  <c r="D61" i="2"/>
  <c r="D62" i="2"/>
  <c r="C63" i="2"/>
  <c r="D63" i="2"/>
  <c r="C64" i="2"/>
  <c r="D64" i="2"/>
  <c r="C65" i="2"/>
  <c r="D65" i="2"/>
  <c r="C66" i="2"/>
  <c r="D66" i="2"/>
  <c r="E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E76" i="2"/>
  <c r="C77" i="2"/>
  <c r="D77" i="2"/>
  <c r="C78" i="2"/>
  <c r="D78" i="2"/>
  <c r="C79" i="2"/>
  <c r="D79" i="2"/>
  <c r="C80" i="2"/>
  <c r="D80" i="2"/>
  <c r="C81" i="2"/>
  <c r="D81" i="2"/>
  <c r="C82" i="2"/>
  <c r="D82" i="2"/>
  <c r="E82" i="2"/>
  <c r="C83" i="2"/>
  <c r="D83" i="2"/>
  <c r="C84" i="2"/>
  <c r="D84" i="2"/>
  <c r="C85" i="2"/>
  <c r="D85" i="2"/>
  <c r="D86" i="2"/>
  <c r="C87" i="2"/>
  <c r="D87" i="2"/>
  <c r="C88" i="2"/>
  <c r="D88" i="2"/>
  <c r="C89" i="2"/>
  <c r="D89" i="2"/>
  <c r="C90" i="2"/>
  <c r="D90" i="2"/>
  <c r="E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E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E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E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E142" i="2"/>
  <c r="C143" i="2"/>
  <c r="D143" i="2"/>
  <c r="C144" i="2"/>
  <c r="D144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E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E175" i="2"/>
  <c r="C176" i="2"/>
  <c r="D176" i="2"/>
  <c r="E176" i="2"/>
  <c r="C177" i="2"/>
  <c r="D177" i="2"/>
  <c r="E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D187" i="2"/>
  <c r="E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D207" i="2"/>
  <c r="C208" i="2"/>
  <c r="D208" i="2"/>
  <c r="C209" i="2"/>
  <c r="D209" i="2"/>
  <c r="C210" i="2"/>
  <c r="D210" i="2"/>
  <c r="D211" i="2"/>
  <c r="E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D220" i="2"/>
  <c r="E220" i="2"/>
  <c r="C221" i="2"/>
  <c r="D221" i="2"/>
  <c r="C222" i="2"/>
  <c r="D222" i="2"/>
  <c r="C223" i="2"/>
  <c r="D223" i="2"/>
  <c r="C224" i="2"/>
  <c r="D224" i="2"/>
  <c r="E224" i="2"/>
  <c r="D225" i="2"/>
  <c r="D226" i="2"/>
  <c r="C227" i="2"/>
  <c r="D227" i="2"/>
  <c r="C228" i="2"/>
  <c r="D228" i="2"/>
  <c r="C229" i="2"/>
  <c r="D229" i="2"/>
  <c r="C230" i="2"/>
  <c r="D230" i="2"/>
  <c r="E230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D245" i="2"/>
  <c r="C246" i="2"/>
  <c r="D246" i="2"/>
  <c r="C247" i="2"/>
  <c r="D247" i="2"/>
  <c r="C248" i="2"/>
  <c r="D248" i="2"/>
  <c r="D249" i="2"/>
  <c r="C250" i="2"/>
  <c r="D250" i="2"/>
  <c r="C251" i="2"/>
  <c r="D251" i="2"/>
  <c r="C252" i="2"/>
  <c r="D252" i="2"/>
  <c r="E252" i="2"/>
  <c r="C253" i="2"/>
  <c r="D253" i="2"/>
  <c r="C254" i="2"/>
  <c r="D254" i="2"/>
  <c r="E254" i="2"/>
  <c r="C255" i="2"/>
  <c r="D255" i="2"/>
  <c r="C256" i="2"/>
  <c r="D256" i="2"/>
  <c r="C257" i="2"/>
  <c r="D257" i="2"/>
  <c r="C258" i="2"/>
  <c r="D258" i="2"/>
  <c r="E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E273" i="2"/>
  <c r="C274" i="2"/>
  <c r="D274" i="2"/>
  <c r="C275" i="2"/>
  <c r="D275" i="2"/>
  <c r="D276" i="2"/>
  <c r="D277" i="2"/>
  <c r="C278" i="2"/>
  <c r="D278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E287" i="2"/>
  <c r="C288" i="2"/>
  <c r="D288" i="2"/>
  <c r="D289" i="2"/>
  <c r="E289" i="2"/>
  <c r="C290" i="2"/>
  <c r="D290" i="2"/>
  <c r="C291" i="2"/>
  <c r="D291" i="2"/>
  <c r="C292" i="2"/>
  <c r="D292" i="2"/>
  <c r="C293" i="2"/>
  <c r="D293" i="2"/>
  <c r="C294" i="2"/>
  <c r="D294" i="2"/>
  <c r="D295" i="2"/>
  <c r="C296" i="2"/>
  <c r="D296" i="2"/>
  <c r="C297" i="2"/>
  <c r="D297" i="2"/>
  <c r="E297" i="2"/>
  <c r="D298" i="2"/>
  <c r="E298" i="2"/>
  <c r="C299" i="2"/>
  <c r="D299" i="2"/>
  <c r="C300" i="2"/>
  <c r="D300" i="2"/>
  <c r="E300" i="2"/>
  <c r="D301" i="2"/>
  <c r="E301" i="2"/>
  <c r="C302" i="2"/>
  <c r="D302" i="2"/>
  <c r="C303" i="2"/>
  <c r="D303" i="2"/>
  <c r="D304" i="2"/>
  <c r="E304" i="2"/>
  <c r="C305" i="2"/>
  <c r="D305" i="2"/>
  <c r="E305" i="2"/>
  <c r="C306" i="2"/>
  <c r="D306" i="2"/>
  <c r="E306" i="2"/>
  <c r="E249" i="2" l="1"/>
  <c r="E296" i="2"/>
  <c r="E276" i="2"/>
  <c r="E279" i="2"/>
  <c r="E280" i="2"/>
  <c r="E295" i="2"/>
  <c r="C304" i="2"/>
  <c r="E277" i="2"/>
  <c r="C289" i="2"/>
  <c r="E293" i="2"/>
  <c r="C298" i="2"/>
  <c r="C301" i="2"/>
  <c r="E86" i="2"/>
  <c r="E145" i="2"/>
  <c r="E240" i="2"/>
  <c r="E245" i="2"/>
  <c r="E266" i="2"/>
  <c r="E275" i="2"/>
  <c r="E62" i="2"/>
  <c r="E72" i="2"/>
  <c r="E75" i="2"/>
  <c r="E84" i="2"/>
  <c r="E91" i="2"/>
  <c r="E103" i="2"/>
  <c r="E133" i="2"/>
  <c r="C211" i="2"/>
  <c r="C220" i="2"/>
  <c r="E225" i="2"/>
  <c r="E226" i="2"/>
  <c r="E231" i="2"/>
  <c r="E243" i="2"/>
  <c r="C249" i="2"/>
  <c r="E6" i="2"/>
  <c r="E8" i="2"/>
  <c r="E12" i="2"/>
  <c r="E13" i="2"/>
  <c r="E20" i="2"/>
  <c r="E43" i="2"/>
  <c r="E44" i="2"/>
  <c r="E67" i="2"/>
  <c r="C207" i="2"/>
  <c r="E207" i="2"/>
  <c r="C245" i="2"/>
  <c r="E2" i="2"/>
  <c r="E4" i="2"/>
  <c r="E5" i="2"/>
  <c r="E255" i="2"/>
  <c r="E88" i="2"/>
  <c r="C276" i="2"/>
  <c r="C86" i="2"/>
  <c r="C277" i="2"/>
  <c r="C279" i="2"/>
  <c r="E81" i="2"/>
  <c r="E204" i="2"/>
  <c r="E96" i="2"/>
  <c r="E229" i="2"/>
  <c r="E68" i="2"/>
  <c r="C2" i="2"/>
  <c r="C8" i="2"/>
  <c r="C295" i="2"/>
  <c r="C225" i="2"/>
  <c r="C226" i="2"/>
  <c r="C6" i="2"/>
  <c r="C4" i="2"/>
  <c r="C231" i="2" l="1"/>
  <c r="C62" i="2"/>
  <c r="C145" i="2"/>
  <c r="C3" i="2"/>
  <c r="C187" i="2" l="1"/>
  <c r="E117" i="2" l="1"/>
  <c r="E73" i="2" l="1"/>
  <c r="E171" i="2" l="1"/>
  <c r="E183" i="2" l="1"/>
  <c r="E261" i="2" l="1"/>
  <c r="E25" i="2" l="1"/>
  <c r="E182" i="2"/>
  <c r="E65" i="2" l="1"/>
  <c r="E282" i="2" l="1"/>
  <c r="E27" i="2" l="1"/>
  <c r="E303" i="2"/>
  <c r="E49" i="2"/>
  <c r="E111" i="2"/>
  <c r="E302" i="2"/>
  <c r="E215" i="2"/>
  <c r="E152" i="2"/>
  <c r="E232" i="2"/>
  <c r="E113" i="2"/>
  <c r="E270" i="2"/>
  <c r="E256" i="2"/>
  <c r="E26" i="2"/>
  <c r="E281" i="2"/>
  <c r="E251" i="2"/>
  <c r="E79" i="2"/>
  <c r="E24" i="2"/>
  <c r="E208" i="2"/>
  <c r="E239" i="2" l="1"/>
  <c r="E134" i="2"/>
  <c r="E45" i="2"/>
  <c r="E101" i="2"/>
  <c r="E23" i="2"/>
  <c r="E36" i="2" l="1"/>
  <c r="E147" i="2"/>
  <c r="E21" i="2"/>
  <c r="E137" i="2"/>
  <c r="E114" i="2"/>
  <c r="E61" i="2"/>
  <c r="E200" i="2"/>
  <c r="E105" i="2"/>
  <c r="E161" i="2"/>
  <c r="E127" i="2"/>
  <c r="E146" i="2" l="1"/>
  <c r="E85" i="2" l="1"/>
  <c r="E110" i="2" l="1"/>
  <c r="E109" i="2"/>
  <c r="E244" i="2"/>
  <c r="E106" i="2"/>
  <c r="E31" i="2" l="1"/>
  <c r="E37" i="2"/>
  <c r="E35" i="2"/>
  <c r="E19" i="2"/>
  <c r="E29" i="2"/>
  <c r="E14" i="2"/>
  <c r="E28" i="2"/>
  <c r="E89" i="2"/>
  <c r="E132" i="2"/>
  <c r="E92" i="2"/>
  <c r="E253" i="2"/>
  <c r="E95" i="2"/>
  <c r="E93" i="2"/>
  <c r="E286" i="2"/>
  <c r="E234" i="2"/>
  <c r="E99" i="2"/>
  <c r="E130" i="2"/>
  <c r="E10" i="2"/>
  <c r="E80" i="2"/>
  <c r="E267" i="2"/>
  <c r="E15" i="2"/>
  <c r="E203" i="2"/>
  <c r="E218" i="2" l="1"/>
  <c r="E190" i="2"/>
  <c r="E222" i="2"/>
  <c r="E124" i="2"/>
  <c r="E172" i="2"/>
  <c r="E46" i="2"/>
  <c r="E199" i="2"/>
  <c r="E250" i="2"/>
  <c r="E217" i="2"/>
  <c r="E205" i="2"/>
  <c r="E291" i="2"/>
  <c r="E170" i="2"/>
  <c r="E212" i="2"/>
  <c r="E195" i="2"/>
  <c r="E188" i="2"/>
  <c r="E284" i="2"/>
  <c r="E236" i="2"/>
  <c r="E167" i="2"/>
  <c r="E288" i="2"/>
  <c r="E64" i="2"/>
  <c r="E50" i="2"/>
  <c r="E102" i="2"/>
  <c r="E159" i="2"/>
  <c r="E228" i="2"/>
  <c r="E179" i="2"/>
  <c r="E259" i="2"/>
  <c r="E112" i="2"/>
  <c r="E264" i="2"/>
  <c r="E32" i="2"/>
  <c r="E263" i="2"/>
  <c r="E241" i="2"/>
  <c r="E70" i="2"/>
  <c r="E192" i="2"/>
  <c r="E129" i="2"/>
  <c r="E247" i="2"/>
  <c r="E184" i="2"/>
  <c r="E74" i="2"/>
  <c r="E213" i="2"/>
  <c r="E292" i="2"/>
  <c r="E53" i="2"/>
  <c r="E173" i="2"/>
  <c r="E168" i="2"/>
  <c r="E153" i="2"/>
  <c r="E60" i="2"/>
  <c r="E214" i="2"/>
  <c r="E155" i="2"/>
  <c r="E174" i="2"/>
  <c r="E193" i="2"/>
  <c r="E128" i="2"/>
  <c r="E160" i="2"/>
  <c r="E219" i="2"/>
  <c r="E265" i="2"/>
  <c r="E186" i="2"/>
  <c r="E140" i="2"/>
  <c r="E138" i="2"/>
  <c r="E136" i="2"/>
  <c r="E54" i="2"/>
  <c r="E271" i="2"/>
  <c r="E164" i="2"/>
  <c r="E283" i="2"/>
  <c r="E151" i="2"/>
  <c r="E262" i="2"/>
  <c r="E197" i="2"/>
  <c r="E119" i="2"/>
  <c r="E40" i="2"/>
  <c r="E206" i="2"/>
  <c r="E87" i="2"/>
  <c r="E141" i="2"/>
  <c r="E169" i="2"/>
  <c r="E242" i="2"/>
  <c r="E185" i="2"/>
  <c r="E78" i="2"/>
  <c r="E123" i="2"/>
  <c r="E116" i="2"/>
  <c r="E198" i="2"/>
  <c r="E209" i="2"/>
  <c r="E118" i="2"/>
  <c r="E221" i="2"/>
  <c r="E178" i="2"/>
  <c r="E272" i="2"/>
  <c r="E55" i="2"/>
  <c r="E58" i="2"/>
  <c r="E299" i="2"/>
  <c r="E122" i="2"/>
  <c r="E63" i="2"/>
  <c r="E38" i="2"/>
  <c r="E98" i="2"/>
  <c r="E227" i="2"/>
  <c r="E11" i="2"/>
  <c r="E216" i="2"/>
  <c r="E238" i="2"/>
  <c r="E52" i="2"/>
  <c r="E56" i="2"/>
  <c r="E196" i="2"/>
  <c r="E83" i="2"/>
  <c r="E156" i="2"/>
  <c r="E233" i="2"/>
  <c r="E202" i="2"/>
  <c r="E290" i="2"/>
  <c r="E181" i="2"/>
  <c r="E59" i="2"/>
  <c r="E237" i="2"/>
  <c r="E165" i="2"/>
  <c r="E97" i="2"/>
  <c r="E94" i="2"/>
  <c r="E260" i="2"/>
  <c r="E257" i="2"/>
  <c r="E180" i="2"/>
  <c r="E149" i="2"/>
  <c r="E104" i="2"/>
  <c r="E139" i="2"/>
  <c r="E154" i="2"/>
  <c r="E120" i="2"/>
  <c r="E285" i="2"/>
  <c r="E144" i="2"/>
  <c r="E125" i="2"/>
  <c r="E246" i="2"/>
  <c r="E235" i="2"/>
  <c r="E223" i="2"/>
  <c r="E163" i="2"/>
  <c r="E148" i="2"/>
  <c r="E69" i="2"/>
  <c r="E194" i="2"/>
  <c r="E71" i="2"/>
  <c r="E17" i="2"/>
  <c r="E16" i="2"/>
  <c r="E22" i="2"/>
  <c r="E278" i="2"/>
  <c r="E48" i="2"/>
  <c r="E158" i="2"/>
  <c r="E157" i="2"/>
  <c r="E166" i="2"/>
  <c r="E150" i="2"/>
  <c r="E126" i="2"/>
  <c r="E189" i="2"/>
  <c r="E143" i="2"/>
  <c r="E9" i="2"/>
  <c r="E108" i="2"/>
  <c r="E107" i="2"/>
  <c r="E47" i="2"/>
  <c r="E274" i="2"/>
  <c r="E191" i="2"/>
  <c r="E7" i="2"/>
  <c r="E121" i="2"/>
  <c r="E294" i="2"/>
  <c r="E77" i="2"/>
  <c r="E41" i="2"/>
  <c r="E135" i="2"/>
  <c r="E248" i="2"/>
  <c r="E210" i="2"/>
  <c r="E268" i="2"/>
  <c r="E201" i="2"/>
  <c r="E269" i="2"/>
  <c r="E39" i="2"/>
  <c r="E42" i="2"/>
  <c r="E18" i="2"/>
  <c r="E30" i="2"/>
</calcChain>
</file>

<file path=xl/sharedStrings.xml><?xml version="1.0" encoding="utf-8"?>
<sst xmlns="http://schemas.openxmlformats.org/spreadsheetml/2006/main" count="615" uniqueCount="615">
  <si>
    <t>NELLY ECHEVERRIA ARAYA</t>
  </si>
  <si>
    <t>14.413.359-5</t>
  </si>
  <si>
    <t>SEBASTIAN CAUCOTA CASTILLO</t>
  </si>
  <si>
    <t>15.924486-5</t>
  </si>
  <si>
    <t>MATIAS TAPIA HONORES</t>
  </si>
  <si>
    <t>20.167.551-0</t>
  </si>
  <si>
    <t>SEBASTIAN SALINAS ARANCIBIA</t>
  </si>
  <si>
    <t>16.927.573-4</t>
  </si>
  <si>
    <t>PATRICIO AROS LAGOS</t>
  </si>
  <si>
    <t>19.955.138-8</t>
  </si>
  <si>
    <t>YISEL FARIAS AGUIRRE</t>
  </si>
  <si>
    <t>19.824.546-1</t>
  </si>
  <si>
    <t>SOLANGE RORE RIQUELME</t>
  </si>
  <si>
    <t>16.623732-7</t>
  </si>
  <si>
    <t>YORDAN SAIRES YUFLA</t>
  </si>
  <si>
    <t>19.538.030-9</t>
  </si>
  <si>
    <t>CRHISTIAN SALAZAR GAVIA</t>
  </si>
  <si>
    <t>17.289.071-7</t>
  </si>
  <si>
    <t>YESENIA EDITH MONTOYA LAGOS</t>
  </si>
  <si>
    <t>18.183.575-3</t>
  </si>
  <si>
    <t>SEBASTIAN MONTALBAN MUNDACA</t>
  </si>
  <si>
    <t>19.373.808-7</t>
  </si>
  <si>
    <t>JOHAN CORTÉS BARRAZA</t>
  </si>
  <si>
    <t>21.256.995-K</t>
  </si>
  <si>
    <t>JAIME ALCAYAGA ARAYA</t>
  </si>
  <si>
    <t>19.871.539-5</t>
  </si>
  <si>
    <t>RODRIGO ARANDA RIVERA</t>
  </si>
  <si>
    <t>18.710.278-2</t>
  </si>
  <si>
    <t>JOSE VEGA MAMANI</t>
  </si>
  <si>
    <t>18.884.949-0</t>
  </si>
  <si>
    <t>JIMMY VASQUEZ SALINAS</t>
  </si>
  <si>
    <t>17.279.846-2</t>
  </si>
  <si>
    <t>FABIAN ORTIZ  SEPULVEDA</t>
  </si>
  <si>
    <t>16.466.823-1</t>
  </si>
  <si>
    <t xml:space="preserve">AIZA DE FERRARI GORDILLO </t>
  </si>
  <si>
    <t>18.580.352-K</t>
  </si>
  <si>
    <t>CRISTIAN CHOQUE RAMIREZ</t>
  </si>
  <si>
    <t>15.979.959-K</t>
  </si>
  <si>
    <t>WILSON CORTES OLIVARES</t>
  </si>
  <si>
    <t>18.002.649-5</t>
  </si>
  <si>
    <t>MACARIO MAMANI GUARACHI</t>
  </si>
  <si>
    <t>11.101.351-9</t>
  </si>
  <si>
    <t>JUAN VILCA JARA</t>
  </si>
  <si>
    <t>19.552.202-2</t>
  </si>
  <si>
    <t>FRANCISCO ALVAREZ ZAMORA</t>
  </si>
  <si>
    <t>18.521.184-3</t>
  </si>
  <si>
    <t>GABRIEL GARCIA HONORATO</t>
  </si>
  <si>
    <t>16.593.690-6</t>
  </si>
  <si>
    <t>LUIS ALVAREZ POBLETE</t>
  </si>
  <si>
    <t>15.513.831-9</t>
  </si>
  <si>
    <t>VALESKA MARTINEZ CHOQUE</t>
  </si>
  <si>
    <t>23.295.011-0</t>
  </si>
  <si>
    <t>SEBASTIAN REYGADA CURIHUENTRO</t>
  </si>
  <si>
    <t>17.093.254-4</t>
  </si>
  <si>
    <t>CRISTOPHER DÍAZ CONTRERAS</t>
  </si>
  <si>
    <t>16.560.085-1</t>
  </si>
  <si>
    <t>TEODORO LOBERA CRUZ</t>
  </si>
  <si>
    <t>8.265.686-3</t>
  </si>
  <si>
    <t>BENJAMÍN TRUJILLO CONTRERAS</t>
  </si>
  <si>
    <t>20.529.022-2</t>
  </si>
  <si>
    <t xml:space="preserve">ABRAHAM ROJAS GUZMAN </t>
  </si>
  <si>
    <t>21.905.795-4</t>
  </si>
  <si>
    <t>SCOTT LLEWELLYN RIVERA</t>
  </si>
  <si>
    <t>19.552.493-9</t>
  </si>
  <si>
    <t>RICARDO CAMPILLAY ROJAS</t>
  </si>
  <si>
    <t>16.352.371-K</t>
  </si>
  <si>
    <t>RAMIRO MAMANI MAMANI</t>
  </si>
  <si>
    <t>9.941.712-9</t>
  </si>
  <si>
    <t>MARIO MORALES CORVALAN</t>
  </si>
  <si>
    <t>17.656.770-8</t>
  </si>
  <si>
    <t>ESTEBAN MUÑOZ CANIVILO</t>
  </si>
  <si>
    <t>17.163.244-7</t>
  </si>
  <si>
    <t>SEBASTIAN SOZA PINTO</t>
  </si>
  <si>
    <t>20.274.345-5</t>
  </si>
  <si>
    <t>FABIOLA SOTO CARRASCO</t>
  </si>
  <si>
    <t>17.172.507-0</t>
  </si>
  <si>
    <t>EDUARDO GOMEZ TRUJILLO</t>
  </si>
  <si>
    <t>17.902.362-8</t>
  </si>
  <si>
    <t>ANGELO GAJARDO GAJARDO</t>
  </si>
  <si>
    <t>17.655.883-0</t>
  </si>
  <si>
    <t>SERGIO ROJAS OSORIO</t>
  </si>
  <si>
    <t>19.496.336-K</t>
  </si>
  <si>
    <t>MARCELO OSSES LLUZCO</t>
  </si>
  <si>
    <t>19.147.854-1</t>
  </si>
  <si>
    <t>MIGUEL SIERRA  RUARTE</t>
  </si>
  <si>
    <t>20.274.683-7</t>
  </si>
  <si>
    <t>NIBALDO ROJAS SALAS</t>
  </si>
  <si>
    <t>14.104.128-2</t>
  </si>
  <si>
    <t>CARLOS INZUNZA ALVARADO</t>
  </si>
  <si>
    <t>12.210.034-0</t>
  </si>
  <si>
    <t>RODRIGO ROJAS ROJAS</t>
  </si>
  <si>
    <t>13.632.774-7</t>
  </si>
  <si>
    <t>RODRIGO LINARES VERDEJO</t>
  </si>
  <si>
    <t>15.947.993-5</t>
  </si>
  <si>
    <t>LUIS DURAN MATURANA</t>
  </si>
  <si>
    <t>13.181.955-2</t>
  </si>
  <si>
    <t>HECTOR ESPINOZA MARIN</t>
  </si>
  <si>
    <t>14.412.026-4</t>
  </si>
  <si>
    <t>GIOVANNI CONTRERAS MUÑOZ</t>
  </si>
  <si>
    <t>15.970.156-5</t>
  </si>
  <si>
    <t>RODRIGO ACUÑA LOPEZ</t>
  </si>
  <si>
    <t>17.245.903-K</t>
  </si>
  <si>
    <t>DIEGO MAMANI MOLLO</t>
  </si>
  <si>
    <t>18.943.848-6</t>
  </si>
  <si>
    <t>DANIEL OÑA MAMANI</t>
  </si>
  <si>
    <t>25.001.170-9</t>
  </si>
  <si>
    <t>JAIME BASILIO REYES</t>
  </si>
  <si>
    <t>17.656.059-2</t>
  </si>
  <si>
    <t>ABRAHAM HUAGAMA CHOCOBAR</t>
  </si>
  <si>
    <t>21.012.980-4</t>
  </si>
  <si>
    <t>RENATO ESPINOZA SANCHEZ</t>
  </si>
  <si>
    <t>17.121.472-6</t>
  </si>
  <si>
    <t>RELLCO AYCA GARAY</t>
  </si>
  <si>
    <t>12.834.811-5</t>
  </si>
  <si>
    <t>VALENTINA CASTILLO CERECEDA</t>
  </si>
  <si>
    <t>21.717.144-K</t>
  </si>
  <si>
    <t>RAUL ALQUINTA GALARDE</t>
  </si>
  <si>
    <t>17.277.568-3</t>
  </si>
  <si>
    <t>SEBASTIAN TARQUE MUÑOZ</t>
  </si>
  <si>
    <t>20.352.648-2</t>
  </si>
  <si>
    <t>SAMUEL RIVERA ARAYA</t>
  </si>
  <si>
    <t>18.521.278-5</t>
  </si>
  <si>
    <t xml:space="preserve">JOSÉ GUTIERREZ CONCHA </t>
  </si>
  <si>
    <t>21.671.127-0</t>
  </si>
  <si>
    <t>PEDRO RAMIREZ</t>
  </si>
  <si>
    <t>10.920.581-8</t>
  </si>
  <si>
    <t>JORDAN LEDEZMA VIZCARRA</t>
  </si>
  <si>
    <t>17.654.265-9</t>
  </si>
  <si>
    <t>IGNACIO LLANOS GALLEGUILLOS</t>
  </si>
  <si>
    <t>19.950.603-K</t>
  </si>
  <si>
    <t>DANIEL BARRIENTOS ROMERO</t>
  </si>
  <si>
    <t>17.725.257-3</t>
  </si>
  <si>
    <t>CRISTOPHER BRAVO BRUNA</t>
  </si>
  <si>
    <t>16.566.699-2</t>
  </si>
  <si>
    <t>EMILIANO BUSTOS VEGA</t>
  </si>
  <si>
    <t>10.089.139-5</t>
  </si>
  <si>
    <t>PEDRO ARAYA SAAVEDRA</t>
  </si>
  <si>
    <t>20.751.658-9</t>
  </si>
  <si>
    <t>PEDRO ARANEDA REALES</t>
  </si>
  <si>
    <t>14.560.342-0</t>
  </si>
  <si>
    <t>MARCOS MOYA TRIGO</t>
  </si>
  <si>
    <t>17.174.175-0</t>
  </si>
  <si>
    <t>FRANCISCO RAMIREZ CAMPILLAY</t>
  </si>
  <si>
    <t>17.492.399-K</t>
  </si>
  <si>
    <t>JUAN VALLEJOS CORNEJO</t>
  </si>
  <si>
    <t>16.226.957-7</t>
  </si>
  <si>
    <t>PATRICIO ROJAS ARAYA</t>
  </si>
  <si>
    <t>10.174.644-5</t>
  </si>
  <si>
    <t>MATIAS FLORES BASUALTO</t>
  </si>
  <si>
    <t>15.149.160-K</t>
  </si>
  <si>
    <t>PABLO VERA GUZMAN</t>
  </si>
  <si>
    <t>16.441.116-8</t>
  </si>
  <si>
    <t>CRISTIAN CARDENAS SANTOS</t>
  </si>
  <si>
    <t>17.012.319-0</t>
  </si>
  <si>
    <t>RAMON ROJAS VARAS</t>
  </si>
  <si>
    <t>16.565.094-8</t>
  </si>
  <si>
    <t>LUCY CORTES CORTES</t>
  </si>
  <si>
    <t>18.184.333-0</t>
  </si>
  <si>
    <t>PABLO ARAVENA MARIN</t>
  </si>
  <si>
    <t>14.382.887-5</t>
  </si>
  <si>
    <t>JUAN BAHAMONDES GUERRA</t>
  </si>
  <si>
    <t>22.198.005-0</t>
  </si>
  <si>
    <t>EDUARDO LANAS CARRASCO</t>
  </si>
  <si>
    <t>17.453.003-3</t>
  </si>
  <si>
    <t>CAMILO SALGADO GONZÁLEZ</t>
  </si>
  <si>
    <t>20.734.976-3</t>
  </si>
  <si>
    <t>NICOLAS QUEZADA ORTEGA</t>
  </si>
  <si>
    <t>19.432.300-K</t>
  </si>
  <si>
    <t>YULIAN FLORES FLORES</t>
  </si>
  <si>
    <t>17.829.620-5</t>
  </si>
  <si>
    <t>NICOLAS MALDONADO PAEZ</t>
  </si>
  <si>
    <t>20.348.504-2</t>
  </si>
  <si>
    <t>FELIPE GONZALEZ FUENTES</t>
  </si>
  <si>
    <t>15.615.715-5</t>
  </si>
  <si>
    <t>SEBASTIAN VILLELA COLLAO</t>
  </si>
  <si>
    <t>17.828.739-7</t>
  </si>
  <si>
    <t>WALDO RIVERA PEREZ</t>
  </si>
  <si>
    <t>18.520.943-1</t>
  </si>
  <si>
    <t>ROBERTO PASTEN MICHEA</t>
  </si>
  <si>
    <t>18.972.102-1</t>
  </si>
  <si>
    <t>VICTOR PIZARRO GALLARDO</t>
  </si>
  <si>
    <t>19.505.098-8</t>
  </si>
  <si>
    <t>NATALIA ANTEQUERA ARTEAGA</t>
  </si>
  <si>
    <t>16.565.997-K</t>
  </si>
  <si>
    <t>PABLO MICHEA MICHEA</t>
  </si>
  <si>
    <t>19.824.676-K</t>
  </si>
  <si>
    <t>NELSON TAPIA CASTILLO</t>
  </si>
  <si>
    <t>17.846.810-3</t>
  </si>
  <si>
    <t>JONNATTAN TORRES ARANDA</t>
  </si>
  <si>
    <t>16.785.107-K</t>
  </si>
  <si>
    <t>JOSE FLORES MONTENEGRO</t>
  </si>
  <si>
    <t>16.453.544-4</t>
  </si>
  <si>
    <t>MIGUEL ESTAY STAY</t>
  </si>
  <si>
    <t>17.655.738-9</t>
  </si>
  <si>
    <t>JONATHAN TRULLEN CAMPILLAY</t>
  </si>
  <si>
    <t>14.581.463-4</t>
  </si>
  <si>
    <t>MATIAS GONZALEZ VALDIVIA</t>
  </si>
  <si>
    <t>19.694.614-4</t>
  </si>
  <si>
    <t>SANTIAGO PATIÑO ALVEAR</t>
  </si>
  <si>
    <t>20.399.802-3</t>
  </si>
  <si>
    <t>JAIME CARRIZO TIRADO</t>
  </si>
  <si>
    <t>17.246.344-4</t>
  </si>
  <si>
    <t>MARJORIE MUÑOZ VARAS</t>
  </si>
  <si>
    <t>14.553.839-4</t>
  </si>
  <si>
    <t>GUILLERMO GUERRERO CASTILLO</t>
  </si>
  <si>
    <t>14.535.481-1</t>
  </si>
  <si>
    <t>MARIO TORRES VIDAL</t>
  </si>
  <si>
    <t>17.744.634-3</t>
  </si>
  <si>
    <t>MARIO BECERRA CATARRI</t>
  </si>
  <si>
    <t>10.050.588-6</t>
  </si>
  <si>
    <t>SEBASTIAN DIAZ MALUENDA</t>
  </si>
  <si>
    <t>19.968.816-2</t>
  </si>
  <si>
    <t>ELIAS CONTRERAS MOYANO</t>
  </si>
  <si>
    <t>20.133.232-K</t>
  </si>
  <si>
    <t>CRISTIAN AZOCAR CORDERO</t>
  </si>
  <si>
    <t>19.538.264-6</t>
  </si>
  <si>
    <t>MILTON LOBERA TRONCI</t>
  </si>
  <si>
    <t>15.710.636-8</t>
  </si>
  <si>
    <t>MILAN GODOY GODOY</t>
  </si>
  <si>
    <t>13.632.538-8</t>
  </si>
  <si>
    <t>MARCELO REINOSO RAMIREZ</t>
  </si>
  <si>
    <t>19.205.023-5</t>
  </si>
  <si>
    <t>MIGUEL ROJAS AVILAS</t>
  </si>
  <si>
    <t>13.417.664-4</t>
  </si>
  <si>
    <t>LUIS REYES QUISPE</t>
  </si>
  <si>
    <t>19.253.066-0</t>
  </si>
  <si>
    <t>JUAN VALENZUELA SEPULVEDA</t>
  </si>
  <si>
    <t>14.109.358-4</t>
  </si>
  <si>
    <t>JUAN ARAYA ARAYA</t>
  </si>
  <si>
    <t>16.602.123-5</t>
  </si>
  <si>
    <t>MAITE HIDALGO LIZAMA</t>
  </si>
  <si>
    <t>19.398.640-4</t>
  </si>
  <si>
    <t>IVAN VILLEGAS ARANCIBIA</t>
  </si>
  <si>
    <t>17.018.417-3</t>
  </si>
  <si>
    <t>ISAIAS CONTRERAS SEPULVEDA</t>
  </si>
  <si>
    <t>21.025.276-2</t>
  </si>
  <si>
    <t>GUSTAVO ACEVEDO BERNA</t>
  </si>
  <si>
    <t>17.392.038-5</t>
  </si>
  <si>
    <t>LUISA FERNANDA PARRA LOPEZ</t>
  </si>
  <si>
    <t>25.252.912-8</t>
  </si>
  <si>
    <t>FRANCO ANJEL AVALOS</t>
  </si>
  <si>
    <t>19.467.265-9</t>
  </si>
  <si>
    <t>FLAVIO SAAVEDRA MARIN</t>
  </si>
  <si>
    <t>19.352.615-2</t>
  </si>
  <si>
    <t>FERNANDO ROMERO TOLEDO</t>
  </si>
  <si>
    <t>19.206.141-5</t>
  </si>
  <si>
    <t>LUIS NUÑEZ ROJAS</t>
  </si>
  <si>
    <t>16.110.624-0</t>
  </si>
  <si>
    <t>LUIS LY BARRAZA</t>
  </si>
  <si>
    <t>18.371.885-1</t>
  </si>
  <si>
    <t>LUIS GALLEGUILLOS MONTENEGRO</t>
  </si>
  <si>
    <t>19.864.093-K</t>
  </si>
  <si>
    <t>FERNANDO BARRERA ARAYA</t>
  </si>
  <si>
    <t>15.013.964-3</t>
  </si>
  <si>
    <t>ESTEBAN COLQUE CRUZ</t>
  </si>
  <si>
    <t>14.509.020-2</t>
  </si>
  <si>
    <t>DEIVYD HIDALGO DIAZ</t>
  </si>
  <si>
    <t>21.140.103-6</t>
  </si>
  <si>
    <t>DAVID MOLINA MORENO</t>
  </si>
  <si>
    <t>18.124.985-4</t>
  </si>
  <si>
    <t>CESAR ARAYA  FERNANDEZ</t>
  </si>
  <si>
    <t>19.867.631-4</t>
  </si>
  <si>
    <t>LENIN ADONES VARAS</t>
  </si>
  <si>
    <t>12.427.793-0</t>
  </si>
  <si>
    <t>KAREN OLGUIN ORDENES</t>
  </si>
  <si>
    <t>16.259.980-1</t>
  </si>
  <si>
    <t>JUVENAL CRUZ VILCA</t>
  </si>
  <si>
    <t>20.526.016-1</t>
  </si>
  <si>
    <t>BAYRON VERGARA LUCIANO</t>
  </si>
  <si>
    <t>18.183.181-2</t>
  </si>
  <si>
    <t>JUAN VERA VERA</t>
  </si>
  <si>
    <t>16.595.622-2</t>
  </si>
  <si>
    <t>ALVARO CARVAJAL ARAYA</t>
  </si>
  <si>
    <t>13.535.361-2</t>
  </si>
  <si>
    <t>ALLAN ROJAS ARAYA</t>
  </si>
  <si>
    <t>18.868.638-9</t>
  </si>
  <si>
    <t>ALEXIS VILLAGRAN TABILO</t>
  </si>
  <si>
    <t>13.743.525-K</t>
  </si>
  <si>
    <t>JUAN PALAVICINO RIVERA</t>
  </si>
  <si>
    <t>19.099.699-9</t>
  </si>
  <si>
    <t>VICTOR OROZCO PONCE</t>
  </si>
  <si>
    <t>15.011.725-9</t>
  </si>
  <si>
    <t>RODRIGO DIAZ MALUENDA</t>
  </si>
  <si>
    <t>19.692.071-4</t>
  </si>
  <si>
    <t>YERKO ARIAS RIVERA</t>
  </si>
  <si>
    <t>16.059.866-2</t>
  </si>
  <si>
    <t>UA</t>
  </si>
  <si>
    <t>16.833.226-2</t>
  </si>
  <si>
    <t>VICTOR ORDENES GONZALEZ</t>
  </si>
  <si>
    <t>17.284.691-2</t>
  </si>
  <si>
    <t>SEBASTIAN VALENZUELA CASTILLO</t>
  </si>
  <si>
    <t>20.911.553-0</t>
  </si>
  <si>
    <t>NICOLAS MIRANDA CHURA</t>
  </si>
  <si>
    <t>19.869.128-3</t>
  </si>
  <si>
    <t>PEDRO ARANEDA NUÑEZ</t>
  </si>
  <si>
    <t>14.568.854-K</t>
  </si>
  <si>
    <t>RODRIGO CUISA ARAYA</t>
  </si>
  <si>
    <t>18.125.375-4</t>
  </si>
  <si>
    <t>RENZO MALAGARRIGA MONTT</t>
  </si>
  <si>
    <t>19.898.803-0</t>
  </si>
  <si>
    <t>JOSE OSINAGA ANDRADE</t>
  </si>
  <si>
    <t>10.649.920-9</t>
  </si>
  <si>
    <t>MARCO PINTO CORDOVA</t>
  </si>
  <si>
    <t>10.487.640-4</t>
  </si>
  <si>
    <t>NILSSON BECERRA TAMBLAY</t>
  </si>
  <si>
    <t>11.932.173-5</t>
  </si>
  <si>
    <t>JOSE PANIRE BAUTISTA</t>
  </si>
  <si>
    <t>15.733.220-1</t>
  </si>
  <si>
    <t>JOSE DIAZ ALVARADO</t>
  </si>
  <si>
    <t>17.452.286-3</t>
  </si>
  <si>
    <t>NESTOR CRUZ GONZALEZ</t>
  </si>
  <si>
    <t>19.252.860-7</t>
  </si>
  <si>
    <t>JOSE OSORIO GUAJARDO</t>
  </si>
  <si>
    <t>15.015.302-6</t>
  </si>
  <si>
    <t>HECTOR TOLEDO MONTAÑA</t>
  </si>
  <si>
    <t>20.981.687-3</t>
  </si>
  <si>
    <t>MILTON ROJAS ROJAS</t>
  </si>
  <si>
    <t>13.358.502-8</t>
  </si>
  <si>
    <t>OMAR ORTEGA SANTANDER</t>
  </si>
  <si>
    <t>18.739.471-6</t>
  </si>
  <si>
    <t>MARIO VEGA MEDINA</t>
  </si>
  <si>
    <t>10.978.655-1</t>
  </si>
  <si>
    <t>GERARDO ZAMORANO HONORATO</t>
  </si>
  <si>
    <t>13.632.298-2</t>
  </si>
  <si>
    <t>MAURICIO GUERRA ZUÑIGA</t>
  </si>
  <si>
    <t>12.947.052-6</t>
  </si>
  <si>
    <t>FRANCISCO VARAS CAMPILLAY</t>
  </si>
  <si>
    <t>13.532.619-4</t>
  </si>
  <si>
    <t>LUIS CASTILLO SEPULVEDA</t>
  </si>
  <si>
    <t>16.274.559-K</t>
  </si>
  <si>
    <t>JERSON ROBLEDO VILLEGAS</t>
  </si>
  <si>
    <t>18.125.329-0</t>
  </si>
  <si>
    <t>CRISTIAN VERA INOSTROZA</t>
  </si>
  <si>
    <t>20.348.189-6</t>
  </si>
  <si>
    <t>JAVIER NUÑEZ GUERRERO</t>
  </si>
  <si>
    <t>19.852.159-0</t>
  </si>
  <si>
    <t>CLAUDIO ROBLES CASTILLO</t>
  </si>
  <si>
    <t>18.984.112-4</t>
  </si>
  <si>
    <t>GUILLERMO HENRIQUEZ FABRES</t>
  </si>
  <si>
    <t>15.705.129-6</t>
  </si>
  <si>
    <t>ELVER AGUILAR MIRANDA</t>
  </si>
  <si>
    <t>23.455.270-8</t>
  </si>
  <si>
    <t>YANELA SOTO BELTRAN</t>
  </si>
  <si>
    <t>17.126.398-0</t>
  </si>
  <si>
    <t>IVO EDUARDO PATTY CHOQUE</t>
  </si>
  <si>
    <t>17.012.480-4</t>
  </si>
  <si>
    <t>MARCO ALVAREZ MUÑOZ</t>
  </si>
  <si>
    <t>19.969.028-0</t>
  </si>
  <si>
    <t>YERKO CARDENAS HERRERA</t>
  </si>
  <si>
    <t>15.947.812-2</t>
  </si>
  <si>
    <t>MANUEL RAMIREZ ORELLANA</t>
  </si>
  <si>
    <t>14.393.784-4</t>
  </si>
  <si>
    <t>HUGO ESPINOSA CARDOZO</t>
  </si>
  <si>
    <t>12.832.205-1</t>
  </si>
  <si>
    <t>MANUEL QUIROZ ROMERO</t>
  </si>
  <si>
    <t>16.280.945-8</t>
  </si>
  <si>
    <t>LUIS PLACENCIA PAEZ</t>
  </si>
  <si>
    <t>14.308.582-1</t>
  </si>
  <si>
    <t>ALEJANDRO TORRES SAAVEDRA</t>
  </si>
  <si>
    <t>18.703.725-5</t>
  </si>
  <si>
    <t>JUAN PLAZA ALVAREZ</t>
  </si>
  <si>
    <t>17.536.144-8</t>
  </si>
  <si>
    <t>JUAN MEJIA ROSALES</t>
  </si>
  <si>
    <t>23.692.021-6</t>
  </si>
  <si>
    <t>JUAN MARTINEZ CASTILLO</t>
  </si>
  <si>
    <t>16.326.687-3</t>
  </si>
  <si>
    <t>JOSUE GONZALEZ GALLARDO</t>
  </si>
  <si>
    <t>20.766.075-2</t>
  </si>
  <si>
    <t>JORGE OLIVARES VIDELA</t>
  </si>
  <si>
    <t>14.419.175-7</t>
  </si>
  <si>
    <t>GUILLERMO ECHEVERRIA VILLALOBOS</t>
  </si>
  <si>
    <t>16.868.973-K</t>
  </si>
  <si>
    <t>JORGE LARRONDO DURAN</t>
  </si>
  <si>
    <t>19.205.067-7</t>
  </si>
  <si>
    <t>JOBANY VALENZUELA ROJAS</t>
  </si>
  <si>
    <t>18.353.265-0</t>
  </si>
  <si>
    <t>IVAN URRELO ALFARO</t>
  </si>
  <si>
    <t>19.826.194-7</t>
  </si>
  <si>
    <t>GIANCARLO HUERTA LLANOS</t>
  </si>
  <si>
    <t>18.825.583-3</t>
  </si>
  <si>
    <t>HERIBERTO ROJAS FLORES</t>
  </si>
  <si>
    <t>13.176.816-8</t>
  </si>
  <si>
    <t>FRANCISCO TORRES ARANDA</t>
  </si>
  <si>
    <t>17.092.818-0</t>
  </si>
  <si>
    <t>GARY REYGADA FERNANDEZ</t>
  </si>
  <si>
    <t>17.246.054-2</t>
  </si>
  <si>
    <t>VICTOR CASTILLO VILLAGRAN</t>
  </si>
  <si>
    <t>12.530.524-5</t>
  </si>
  <si>
    <t>FRANCO HERNANDEZ CASTILLO</t>
  </si>
  <si>
    <t>18.343.068-8</t>
  </si>
  <si>
    <t>VICTOR CAMPILLAY CAMPILLAY</t>
  </si>
  <si>
    <t>13.745.129-8</t>
  </si>
  <si>
    <t>JUAN FUENZALIDA ESPINOZA</t>
  </si>
  <si>
    <t>18.539.817-K</t>
  </si>
  <si>
    <t>JOSE SILVA ARAYA</t>
  </si>
  <si>
    <t>15.812.632-k</t>
  </si>
  <si>
    <t>JUAN CAQUISANE</t>
  </si>
  <si>
    <t>15.000.986-3</t>
  </si>
  <si>
    <t>FABIAN CONTRERAS OSSANDON</t>
  </si>
  <si>
    <t>20.399.173-8</t>
  </si>
  <si>
    <t>ALEXIS HERRERA HERRERA</t>
  </si>
  <si>
    <t>15.220.906-1</t>
  </si>
  <si>
    <t>CARLOS ESPINOZA ARIAS</t>
  </si>
  <si>
    <t>19.939.401-0</t>
  </si>
  <si>
    <t>BRYAN BASCUR ROJO</t>
  </si>
  <si>
    <t>20.274.647-0</t>
  </si>
  <si>
    <t>BENJAMIN FUENTES ROBLES</t>
  </si>
  <si>
    <t>19.979.332-2</t>
  </si>
  <si>
    <t>ANGELO SEGOVIA ROJAS</t>
  </si>
  <si>
    <t>17.974.015-k</t>
  </si>
  <si>
    <t>FELIX PAOLINI REYES</t>
  </si>
  <si>
    <t>18.179.935-8</t>
  </si>
  <si>
    <t>ALEXANDER ROJAS ROJAS</t>
  </si>
  <si>
    <t>21.378.162-6</t>
  </si>
  <si>
    <t>VLADIMIR TAPIA ESPINOZA</t>
  </si>
  <si>
    <t>13.633.602-9</t>
  </si>
  <si>
    <t>NICOLAS CIFUENTES GUITIERREZ</t>
  </si>
  <si>
    <t>20.381.171-3</t>
  </si>
  <si>
    <t>RAMON CANALES OJEDA</t>
  </si>
  <si>
    <t>17.165.030-5</t>
  </si>
  <si>
    <t>MAURICIO AGUILERA TORRICO</t>
  </si>
  <si>
    <t>16.059.741-0</t>
  </si>
  <si>
    <t>JOSE QUIROZ CONTRERAS</t>
  </si>
  <si>
    <t>16.565.053-0</t>
  </si>
  <si>
    <t>EZEQUIEL GONZALEZ GALLARDO</t>
  </si>
  <si>
    <t>20.082.334-6</t>
  </si>
  <si>
    <t>GERALD PEREZ GIRALDO</t>
  </si>
  <si>
    <t>22.856.322-6</t>
  </si>
  <si>
    <t>DANIEL PEÑA MORALES</t>
  </si>
  <si>
    <t>12.607.702-5</t>
  </si>
  <si>
    <t>CLAUDIO CASTILLO BELTRAN</t>
  </si>
  <si>
    <t>12.442.918-8</t>
  </si>
  <si>
    <t>EDGARD ARAVENA SALGADO</t>
  </si>
  <si>
    <t>17.445.250-4</t>
  </si>
  <si>
    <t>ZAKK ELIZALDE DIAZ</t>
  </si>
  <si>
    <t>17.974.271-3</t>
  </si>
  <si>
    <t>RAUL LAZCANO CABRERA</t>
  </si>
  <si>
    <t>17.644.439-8</t>
  </si>
  <si>
    <t>PEDRO JIMENEZ CARRETERO</t>
  </si>
  <si>
    <t>18.827.199-5</t>
  </si>
  <si>
    <t>PEDRO CAVIEDES VELÁSQUEZ</t>
  </si>
  <si>
    <t>20.561.647-0</t>
  </si>
  <si>
    <t>EDGARD LORCA EWETT</t>
  </si>
  <si>
    <t>9.133.711-8</t>
  </si>
  <si>
    <t>PATRICIO ZEGARRA SOLARES</t>
  </si>
  <si>
    <t>19.357.254-5</t>
  </si>
  <si>
    <t>DYLAN CASTILLO CARVAJAL</t>
  </si>
  <si>
    <t>20.921.466-0</t>
  </si>
  <si>
    <t>NIKOLAS MONJE MENDOZA</t>
  </si>
  <si>
    <t>20.352.297-5</t>
  </si>
  <si>
    <t>DIEGO GARAY ABARCA</t>
  </si>
  <si>
    <t>15.067.608-8</t>
  </si>
  <si>
    <t>MATIAS AGUILERA VERGARA</t>
  </si>
  <si>
    <t>21.403.466-2</t>
  </si>
  <si>
    <t>DAYLIN CHAVEZ CARVAJAL</t>
  </si>
  <si>
    <t>18.506.683-5</t>
  </si>
  <si>
    <t>DAVID SALGADO MUÑOZ</t>
  </si>
  <si>
    <t>16.062.651-8</t>
  </si>
  <si>
    <t>MARCELO ROJAS CARVAJAL</t>
  </si>
  <si>
    <t>20.966.538-7</t>
  </si>
  <si>
    <t>MARCELO OGALDE MENDOZA</t>
  </si>
  <si>
    <t>20.228.794-8</t>
  </si>
  <si>
    <t>LUISMER MARIN MUÑOZ</t>
  </si>
  <si>
    <t>18.483.911-3</t>
  </si>
  <si>
    <t>LUIS VEAS IRIARTE</t>
  </si>
  <si>
    <t>17.655.977-2</t>
  </si>
  <si>
    <t>LUIS PEREIRA BARLARO</t>
  </si>
  <si>
    <t>18.684.183-2</t>
  </si>
  <si>
    <t>LUIS CONTRERAS ASTUDILLO</t>
  </si>
  <si>
    <t>17.715.371-0</t>
  </si>
  <si>
    <t>JOSE HIDALGO DIAZ</t>
  </si>
  <si>
    <t>18.826.074-8</t>
  </si>
  <si>
    <t>JONATHAN LOPEZ RIVEROS</t>
  </si>
  <si>
    <t>17.737.054-1</t>
  </si>
  <si>
    <t>JEISON BRUCE VALDERRAMA</t>
  </si>
  <si>
    <t>21.467.074-7</t>
  </si>
  <si>
    <t>VICTOR SALAS CERDA</t>
  </si>
  <si>
    <t>20.441.738-5</t>
  </si>
  <si>
    <t>HECTOR ORELLANA BERON</t>
  </si>
  <si>
    <t>16.591.798-7</t>
  </si>
  <si>
    <t>CRISTIAN NORAMBUENA BIGUERA</t>
  </si>
  <si>
    <t>18.273.568-K</t>
  </si>
  <si>
    <t>CRISTIAN GUERRERO CONDEMARIN</t>
  </si>
  <si>
    <t>13.213.836-2</t>
  </si>
  <si>
    <t>SAMUEL JOFRE GONZALEZ</t>
  </si>
  <si>
    <t>17.093.275-7</t>
  </si>
  <si>
    <t>NATALIA URRELO COLQUE</t>
  </si>
  <si>
    <t>21.387.458-6</t>
  </si>
  <si>
    <t>MARCO PASTÉN ROJAS</t>
  </si>
  <si>
    <t>20.525.806-K</t>
  </si>
  <si>
    <t>CRISTIAN ARDILES AGUILAR</t>
  </si>
  <si>
    <t>16.294.664-1</t>
  </si>
  <si>
    <t>CRISTIAN ARAYA ARAYA</t>
  </si>
  <si>
    <t>16.258.823-0</t>
  </si>
  <si>
    <t xml:space="preserve">SHERMAN MILLA ALVAREZ </t>
  </si>
  <si>
    <t>15.015.934-2</t>
  </si>
  <si>
    <t>CLAUDIO MIRANDA GALAZ</t>
  </si>
  <si>
    <t>19.664.545-4</t>
  </si>
  <si>
    <t>JHAN SILVA TIMBLE</t>
  </si>
  <si>
    <t>17.528.299-8</t>
  </si>
  <si>
    <t>CLAUDIO DIAZ ALUCEMA</t>
  </si>
  <si>
    <t>12.571.470-6</t>
  </si>
  <si>
    <t>FRANCISCO ROJAS PLAZA</t>
  </si>
  <si>
    <t>15.947.238-8</t>
  </si>
  <si>
    <t>FERNANDO ROJAS GRAY</t>
  </si>
  <si>
    <t>14.601.156-K</t>
  </si>
  <si>
    <t>HARRY MAMANI GONZALEZ</t>
  </si>
  <si>
    <t>16.829.133-7</t>
  </si>
  <si>
    <t>PABLO ARAYA RAMOS</t>
  </si>
  <si>
    <t>16.549.827-5</t>
  </si>
  <si>
    <t>CHRISTIAN SILVA PINO</t>
  </si>
  <si>
    <t>18.100.391-K</t>
  </si>
  <si>
    <t>CHRISTIAN CACERES DOUGLAS</t>
  </si>
  <si>
    <t>20.260.240-1</t>
  </si>
  <si>
    <t>CHI-LIN LUY GONZÁLEZ</t>
  </si>
  <si>
    <t>19.867.488-5</t>
  </si>
  <si>
    <t>FABIAN ROJAS OVALLE</t>
  </si>
  <si>
    <t>20.347.179-3</t>
  </si>
  <si>
    <t>FABIAN BARRERA VARAS</t>
  </si>
  <si>
    <t>18.757.804-3</t>
  </si>
  <si>
    <t>CARLOS SOSA CATUR</t>
  </si>
  <si>
    <t>16.824.319-7</t>
  </si>
  <si>
    <t>FELIPE DIAS SANDOVAL</t>
  </si>
  <si>
    <t>18.183.699-7</t>
  </si>
  <si>
    <t>EMILIO ARANEDA REALES</t>
  </si>
  <si>
    <t>20.352.474-9</t>
  </si>
  <si>
    <t>GLIDDE CORTES PASTEN</t>
  </si>
  <si>
    <t>13.217.405-9</t>
  </si>
  <si>
    <t>CARLOS ARAMAYO JIMENEZ</t>
  </si>
  <si>
    <t>12.419.356-7</t>
  </si>
  <si>
    <t>CARINA CALDERON CRUZ</t>
  </si>
  <si>
    <t>15.769.371-9</t>
  </si>
  <si>
    <t>FELIPE CUEVAS AGUILERA</t>
  </si>
  <si>
    <t>18.496.680-8</t>
  </si>
  <si>
    <t>CAMILO JARA ZAPATA</t>
  </si>
  <si>
    <t>17.092.538-6</t>
  </si>
  <si>
    <t>CAMILA IRIARTE HERRERA</t>
  </si>
  <si>
    <t>19.825.050-3</t>
  </si>
  <si>
    <t>DAVID MARCHANT MUÑOZ</t>
  </si>
  <si>
    <t>19.980.379-4</t>
  </si>
  <si>
    <t>BRIAN REYGADA FERNADEZ</t>
  </si>
  <si>
    <t>17.246.055-0</t>
  </si>
  <si>
    <t>DAVID DANTAGnAN CARDENAS</t>
  </si>
  <si>
    <t>19.351.934-2</t>
  </si>
  <si>
    <t>BIELKA SUSANA CHICAGO ALBORNOZ</t>
  </si>
  <si>
    <t>19.463.519-2</t>
  </si>
  <si>
    <t>DAMIAN ORDENES CASTILLO</t>
  </si>
  <si>
    <t>20.600.081-3</t>
  </si>
  <si>
    <t>DAMIAN MENDIZABAL CASTILLO</t>
  </si>
  <si>
    <t>20.352.192-8</t>
  </si>
  <si>
    <t>CHRISTINA PLAZA VALENZUELA</t>
  </si>
  <si>
    <t>20.735.342-6</t>
  </si>
  <si>
    <t>BENITO CASTILLO OMAÑA</t>
  </si>
  <si>
    <t>17.861.249-2</t>
  </si>
  <si>
    <t>ALEJANDRO ARANCIBIA CAVOR</t>
  </si>
  <si>
    <t>21.402.715-1</t>
  </si>
  <si>
    <t>CLAUDIA GAHONA ROJAS</t>
  </si>
  <si>
    <t>21.185.228-3</t>
  </si>
  <si>
    <t>ARTURO TAPIA AVALOS</t>
  </si>
  <si>
    <t>17.392.012-1</t>
  </si>
  <si>
    <t>ARIEL RIVERA VALDIVIA</t>
  </si>
  <si>
    <t>16.493.030-0</t>
  </si>
  <si>
    <t>CINTHIA CAMPOS PERLA</t>
  </si>
  <si>
    <t>22.474.820-5</t>
  </si>
  <si>
    <t>CAROLINA CACERES AROCA</t>
  </si>
  <si>
    <t>17.433.629-6</t>
  </si>
  <si>
    <t>CARLOS HURTADO ESPINOZA</t>
  </si>
  <si>
    <t>15.693.285-k</t>
  </si>
  <si>
    <t>CARLOS CARRIZO TIRADO</t>
  </si>
  <si>
    <t>20.098.790-K</t>
  </si>
  <si>
    <t>ANDRES OCAYO OCAYO</t>
  </si>
  <si>
    <t>18.482.647-K</t>
  </si>
  <si>
    <t>ANDRES GUTIERREZ VASQUEZ</t>
  </si>
  <si>
    <t>17.867.062-K</t>
  </si>
  <si>
    <t>BRAULIO SASMAYA DIAZ</t>
  </si>
  <si>
    <t>21.981.317-1</t>
  </si>
  <si>
    <t>ANDREA MOYA ORMEÑO</t>
  </si>
  <si>
    <t>15.000.869-7</t>
  </si>
  <si>
    <t>ALVARO COLINA FLORES</t>
  </si>
  <si>
    <t>19.146.897-K</t>
  </si>
  <si>
    <t>BENJAMIN PEREDO PANCHILLO</t>
  </si>
  <si>
    <t>18.125.852-7</t>
  </si>
  <si>
    <t>ARIEL MALUENDA ROJAS</t>
  </si>
  <si>
    <t>13.172.480-2</t>
  </si>
  <si>
    <t>ANDRES AGUILERA CARVAJAL</t>
  </si>
  <si>
    <t>18.125.400-9</t>
  </si>
  <si>
    <t>VÍCTOR PEÑA MUÑOZ</t>
  </si>
  <si>
    <t>17.000.591-0</t>
  </si>
  <si>
    <t xml:space="preserve">SERGIO ZEPEDA GARCIA </t>
  </si>
  <si>
    <t>10.628.033-9</t>
  </si>
  <si>
    <t>ALEX MUÑOZ ORTEGA</t>
  </si>
  <si>
    <t>10.220.933-8</t>
  </si>
  <si>
    <t>ALEJANDRO VARGAS CORTES</t>
  </si>
  <si>
    <t>14.108.909-9</t>
  </si>
  <si>
    <t>PEDRO MIRANDA VERGARA</t>
  </si>
  <si>
    <t>19.104.562-9</t>
  </si>
  <si>
    <t>ALEJANDRO SUÑIGA ROMERO</t>
  </si>
  <si>
    <t>20.221.374-k</t>
  </si>
  <si>
    <t>PEDRO ESCOBAR LOPEZ</t>
  </si>
  <si>
    <t>18.503.272-8</t>
  </si>
  <si>
    <t>LUKAS HERRADA MUSRI</t>
  </si>
  <si>
    <t>20.553.857-7</t>
  </si>
  <si>
    <t>JOSE NUÑEZ RENDIC</t>
  </si>
  <si>
    <t>14.309.408-1</t>
  </si>
  <si>
    <t>JAISON VEJAR HERRERA</t>
  </si>
  <si>
    <t>19.334.828-9</t>
  </si>
  <si>
    <t>GIANFRANCO CASONI MARTÍNEZ</t>
  </si>
  <si>
    <t>20.451.662-6</t>
  </si>
  <si>
    <t>GUSTAVO CÉSPEDES ZAVALA</t>
  </si>
  <si>
    <t>18.960.586-2</t>
  </si>
  <si>
    <t>ESTADO</t>
  </si>
  <si>
    <t>VENCIMIENTO</t>
  </si>
  <si>
    <t>CÓDIGO</t>
  </si>
  <si>
    <t>NOMBRE COMPLETO</t>
  </si>
  <si>
    <t xml:space="preserve">RUT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</si>
</sst>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2" tint="-0.89999084444715716"/>
      <name val="Aptos Narrow"/>
      <family val="2"/>
      <scheme val="minor"/>
    </font>
    <font>
      <sz val="8"/>
      <color rgb="FF000000"/>
      <name val="Calibri"/>
      <family val="2"/>
    </font>
    <font>
      <sz val="8"/>
      <color rgb="FF000000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170FB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1" fillId="0" borderId="2" xfId="0" applyFont="1" applyBorder="1"/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UTOR%20DE%20CAPACITACI&#211;N/TUTOR%20DE%20CAPACITACI&#211;N/Herramientas%20Control/MAESTRO%20PRINCIPAL-LAPTOP-MLKD2O9E.xlsx" TargetMode="External"/><Relationship Id="rId2" Type="http://schemas.openxmlformats.org/officeDocument/2006/relationships/externalLinkPath" Target="https://globalkomatsu-my.sharepoint.com/personal/cristopher_bravo_global_komatsu/Documents/TUTOR%20DE%20CAPACITACI&#211;N/TUTOR%20DE%20CAPACITACI&#211;N/Herramientas%20Control/MAESTRO%20PRINCIPAL-LAPTOP-MLKD2O9E.xlsx" TargetMode="External"/><Relationship Id="rId1" Type="http://schemas.openxmlformats.org/officeDocument/2006/relationships/externalLinkPath" Target="/personal/cristopher_bravo_global_komatsu/Documents/TUTOR%20DE%20CAPACITACI&#211;N/TUTOR%20DE%20CAPACITACI&#211;N/Herramientas%20Control/MAESTRO%20PRINCIPAL-LAPTOP-MLKD2O9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maforo"/>
      <sheetName val="Reporte"/>
      <sheetName val="Calendario"/>
      <sheetName val="Matriz"/>
      <sheetName val="EVA. DESEMPEÑO"/>
      <sheetName val="Evento Legal"/>
      <sheetName val="Programa Cursos"/>
      <sheetName val="% PDC"/>
      <sheetName val="PDC"/>
      <sheetName val="MALLA"/>
      <sheetName val="Sar"/>
    </sheetNames>
    <sheetDataSet>
      <sheetData sheetId="0"/>
      <sheetData sheetId="1"/>
      <sheetData sheetId="2"/>
      <sheetData sheetId="3">
        <row r="1">
          <cell r="E1" t="str">
            <v>RUT (CFK)</v>
          </cell>
          <cell r="BU1" t="str">
            <v>COMENTARIOS OPERACION CAEX</v>
          </cell>
          <cell r="BW1" t="str">
            <v xml:space="preserve"> VENCIMIENTO OPERACIÓN CAEX</v>
          </cell>
          <cell r="BY1" t="str">
            <v>CAEX 980E</v>
          </cell>
        </row>
        <row r="2">
          <cell r="E2" t="str">
            <v>21.012.980-4</v>
          </cell>
          <cell r="BY2" t="str">
            <v>GESTIONAR</v>
          </cell>
        </row>
        <row r="3">
          <cell r="E3" t="str">
            <v>21.905.795-4</v>
          </cell>
          <cell r="BU3" t="e">
            <v>#REF!</v>
          </cell>
          <cell r="BY3" t="str">
            <v>SIN CURSO</v>
          </cell>
        </row>
        <row r="4">
          <cell r="E4" t="str">
            <v>18.580.352-K</v>
          </cell>
          <cell r="BU4" t="e">
            <v>#REF!</v>
          </cell>
        </row>
        <row r="5">
          <cell r="E5" t="str">
            <v>21.402.715-1</v>
          </cell>
          <cell r="BY5" t="str">
            <v>SIN CURSO</v>
          </cell>
        </row>
        <row r="6">
          <cell r="E6" t="str">
            <v>19.899.407-3</v>
          </cell>
          <cell r="BU6" t="str">
            <v>CAL234321</v>
          </cell>
          <cell r="BW6">
            <v>46810</v>
          </cell>
          <cell r="BY6" t="str">
            <v>VIGENTE</v>
          </cell>
        </row>
        <row r="7">
          <cell r="E7" t="str">
            <v>20.221.374-k</v>
          </cell>
          <cell r="BU7" t="e">
            <v>#REF!</v>
          </cell>
          <cell r="BY7" t="str">
            <v>SIN CURSO</v>
          </cell>
        </row>
        <row r="8">
          <cell r="E8" t="str">
            <v>18.703.725-5</v>
          </cell>
          <cell r="BY8" t="str">
            <v>SIN CURSO</v>
          </cell>
        </row>
        <row r="9">
          <cell r="E9" t="str">
            <v>14.108.909-9</v>
          </cell>
          <cell r="BU9" t="str">
            <v>FASE 4 ACREDITADO CAEX 980E &amp; 930E</v>
          </cell>
          <cell r="BW9">
            <v>46410</v>
          </cell>
          <cell r="BY9" t="str">
            <v>VIGENTE</v>
          </cell>
        </row>
        <row r="10">
          <cell r="E10" t="str">
            <v>10.220.933-8</v>
          </cell>
          <cell r="BU10" t="str">
            <v>FASE 1 MANIPULADOR CAEX 980E Y 930E/SIN LICENCIA</v>
          </cell>
          <cell r="BW10">
            <v>46088</v>
          </cell>
          <cell r="BY10" t="str">
            <v>VENCIDO</v>
          </cell>
        </row>
        <row r="11">
          <cell r="E11" t="str">
            <v>21.378.162-6</v>
          </cell>
          <cell r="BY11" t="str">
            <v>SIN CURSO</v>
          </cell>
        </row>
        <row r="12">
          <cell r="E12" t="str">
            <v>15.220.906-1</v>
          </cell>
          <cell r="BY12" t="str">
            <v>SIN CURSO</v>
          </cell>
        </row>
        <row r="13">
          <cell r="E13" t="str">
            <v>13.743.525-K</v>
          </cell>
          <cell r="BY13" t="str">
            <v>SIN CURSO</v>
          </cell>
        </row>
        <row r="14">
          <cell r="E14" t="str">
            <v>18.868.638-9</v>
          </cell>
          <cell r="BY14" t="str">
            <v>SIN CURSO</v>
          </cell>
        </row>
        <row r="15">
          <cell r="E15" t="str">
            <v>13.535.361-2</v>
          </cell>
          <cell r="BU15" t="str">
            <v>CAL237477</v>
          </cell>
          <cell r="BW15">
            <v>46863</v>
          </cell>
          <cell r="BY15" t="str">
            <v>VIGENTE</v>
          </cell>
        </row>
        <row r="16">
          <cell r="E16" t="str">
            <v>19.146.897-K</v>
          </cell>
          <cell r="BY16" t="str">
            <v>SIN CURSO</v>
          </cell>
        </row>
        <row r="17">
          <cell r="E17" t="str">
            <v>15.000.869-7</v>
          </cell>
          <cell r="BY17" t="str">
            <v>SIN CURSO</v>
          </cell>
        </row>
        <row r="18">
          <cell r="E18" t="str">
            <v>18.125.400-9</v>
          </cell>
          <cell r="BU18" t="str">
            <v>FASE 1 MANIPULADOR CAEX 980E Y 930E</v>
          </cell>
          <cell r="BW18">
            <v>46309</v>
          </cell>
          <cell r="BY18" t="str">
            <v>VIGENTE</v>
          </cell>
        </row>
        <row r="19">
          <cell r="E19" t="str">
            <v>17.867.062-K</v>
          </cell>
          <cell r="BU19" t="str">
            <v>CAL237477</v>
          </cell>
          <cell r="BW19">
            <v>46863</v>
          </cell>
          <cell r="BY19" t="str">
            <v>VIGENTE</v>
          </cell>
        </row>
        <row r="20">
          <cell r="E20" t="str">
            <v>18.482.647-K</v>
          </cell>
          <cell r="BY20" t="str">
            <v>SIN CURSO</v>
          </cell>
        </row>
        <row r="21">
          <cell r="E21" t="str">
            <v>20.093.585-3</v>
          </cell>
          <cell r="BY21" t="str">
            <v>SIN CURSO</v>
          </cell>
        </row>
        <row r="22">
          <cell r="E22" t="str">
            <v>17.655.883-0</v>
          </cell>
          <cell r="BY22" t="str">
            <v>SIN CURSO</v>
          </cell>
        </row>
        <row r="23">
          <cell r="E23" t="str">
            <v>17.974.015-k</v>
          </cell>
          <cell r="BY23" t="str">
            <v>SIN CURSO</v>
          </cell>
        </row>
        <row r="24">
          <cell r="E24" t="str">
            <v>13.172.480-2</v>
          </cell>
          <cell r="BU24" t="str">
            <v>FASE 4 ACREDITADO CAEX 980E &amp; 930E</v>
          </cell>
          <cell r="BW24">
            <v>46410</v>
          </cell>
          <cell r="BY24" t="str">
            <v>VIGENTE</v>
          </cell>
        </row>
        <row r="25">
          <cell r="E25" t="str">
            <v>16.493.030-0</v>
          </cell>
          <cell r="BY25" t="str">
            <v>SIN CURSO</v>
          </cell>
        </row>
        <row r="26">
          <cell r="E26" t="str">
            <v>17.392.012-1</v>
          </cell>
          <cell r="BY26" t="str">
            <v>SIN CURSO</v>
          </cell>
        </row>
        <row r="27">
          <cell r="E27" t="str">
            <v>19.463.442-0</v>
          </cell>
          <cell r="BU27" t="str">
            <v>POR PROGRAMAR 25 DE NOVIEMBRE INSECAP / CUMMINS GESTIONARÁ LOGISTICA</v>
          </cell>
          <cell r="BW27">
            <v>46880</v>
          </cell>
          <cell r="BY27" t="str">
            <v>VIGENTE</v>
          </cell>
        </row>
        <row r="28">
          <cell r="E28" t="str">
            <v>18.183.181-2</v>
          </cell>
          <cell r="BY28" t="str">
            <v>SIN CURSO</v>
          </cell>
        </row>
        <row r="29">
          <cell r="E29" t="str">
            <v>17.861.249-2</v>
          </cell>
          <cell r="BU29" t="str">
            <v>FASE 4 ACREDITADO CAEX 980E &amp; 930E</v>
          </cell>
          <cell r="BW29">
            <v>46403</v>
          </cell>
          <cell r="BY29" t="str">
            <v>VIGENTE</v>
          </cell>
        </row>
        <row r="30">
          <cell r="E30" t="str">
            <v>19.979.332-2</v>
          </cell>
          <cell r="BU30" t="str">
            <v>PENDIENTE CERTIFICADO POR MODIFICACIÓN</v>
          </cell>
          <cell r="BW30">
            <v>46880</v>
          </cell>
          <cell r="BY30" t="str">
            <v>VIGENTE</v>
          </cell>
        </row>
        <row r="31">
          <cell r="E31" t="str">
            <v>18.125.852-7</v>
          </cell>
          <cell r="BU31" t="str">
            <v>FASE 3 OPERACIÓN CAEX 980E &amp; 930E  / CARTA RENOVACIÓN</v>
          </cell>
          <cell r="BW31">
            <v>46581</v>
          </cell>
          <cell r="BY31" t="str">
            <v>VIGENTE</v>
          </cell>
        </row>
        <row r="32">
          <cell r="E32" t="str">
            <v>20.529.022-2</v>
          </cell>
          <cell r="BU32" t="e">
            <v>#REF!</v>
          </cell>
          <cell r="BY32" t="str">
            <v>SIN CURSO</v>
          </cell>
        </row>
        <row r="33">
          <cell r="E33" t="str">
            <v>19.463.519-2</v>
          </cell>
          <cell r="BY33" t="str">
            <v>SIN CURSO</v>
          </cell>
        </row>
        <row r="34">
          <cell r="E34" t="str">
            <v>21.981.317-1</v>
          </cell>
          <cell r="BY34" t="str">
            <v>SIN CURSO</v>
          </cell>
        </row>
        <row r="35">
          <cell r="E35" t="str">
            <v>17.246.055-0</v>
          </cell>
          <cell r="BY35" t="str">
            <v>SIN CURSO</v>
          </cell>
        </row>
        <row r="36">
          <cell r="E36" t="str">
            <v>20.274.647-0</v>
          </cell>
          <cell r="BY36" t="str">
            <v>SIN CURSO</v>
          </cell>
        </row>
        <row r="37">
          <cell r="E37" t="str">
            <v>19.825.050-3</v>
          </cell>
          <cell r="BY37" t="str">
            <v>SIN CURSO</v>
          </cell>
        </row>
        <row r="38">
          <cell r="E38" t="str">
            <v>17.092.538-6</v>
          </cell>
          <cell r="BY38" t="str">
            <v>SIN CURSO</v>
          </cell>
        </row>
        <row r="39">
          <cell r="E39" t="str">
            <v>20.734.976-3</v>
          </cell>
          <cell r="BY39" t="str">
            <v>SIN CURSO</v>
          </cell>
        </row>
        <row r="40">
          <cell r="E40" t="str">
            <v>15.769.371-9</v>
          </cell>
          <cell r="BY40" t="str">
            <v>SIN CURSO</v>
          </cell>
        </row>
        <row r="41">
          <cell r="E41" t="str">
            <v>12.419.356-7</v>
          </cell>
          <cell r="BY41" t="str">
            <v>SIN CURSO</v>
          </cell>
        </row>
        <row r="42">
          <cell r="E42" t="str">
            <v>20.098.790-K</v>
          </cell>
          <cell r="BY42" t="str">
            <v>SIN CURSO</v>
          </cell>
        </row>
        <row r="43">
          <cell r="E43" t="str">
            <v>19.939.401-0</v>
          </cell>
          <cell r="BY43" t="str">
            <v>SIN CURSO</v>
          </cell>
        </row>
        <row r="44">
          <cell r="E44" t="str">
            <v>15.693.285-k</v>
          </cell>
          <cell r="BY44" t="str">
            <v>SIN CURSO</v>
          </cell>
        </row>
        <row r="45">
          <cell r="E45" t="str">
            <v>12.210.034-0</v>
          </cell>
          <cell r="BU45" t="str">
            <v>CAL237477</v>
          </cell>
          <cell r="BW45">
            <v>46863</v>
          </cell>
          <cell r="BY45" t="str">
            <v>VIGENTE</v>
          </cell>
        </row>
        <row r="46">
          <cell r="E46" t="str">
            <v>16.824.319-7</v>
          </cell>
          <cell r="BY46" t="str">
            <v>SIN CURSO</v>
          </cell>
        </row>
        <row r="47">
          <cell r="E47" t="str">
            <v>17.433.629-6</v>
          </cell>
          <cell r="BY47" t="str">
            <v>SIN CURSO</v>
          </cell>
        </row>
        <row r="48">
          <cell r="E48" t="str">
            <v>19.867.631-4</v>
          </cell>
          <cell r="BY48" t="str">
            <v>GESTIONAR</v>
          </cell>
        </row>
        <row r="49">
          <cell r="E49" t="str">
            <v>19.867.488-5</v>
          </cell>
          <cell r="BY49" t="str">
            <v>SIN CURSO</v>
          </cell>
        </row>
        <row r="50">
          <cell r="E50" t="str">
            <v>20.260.240-1</v>
          </cell>
          <cell r="BU50" t="str">
            <v>FASE 1 MANIPULADOR CAEX 980E Y 930E</v>
          </cell>
          <cell r="BW50">
            <v>46088</v>
          </cell>
          <cell r="BY50" t="str">
            <v>VENCIDO</v>
          </cell>
        </row>
        <row r="51">
          <cell r="E51" t="str">
            <v>18.100.391-K</v>
          </cell>
          <cell r="BU51" t="str">
            <v>FASE 1 MANIPULADOR CAEX 980E Y 930E/SIN LICENCIA</v>
          </cell>
          <cell r="BW51">
            <v>46088</v>
          </cell>
          <cell r="BY51" t="str">
            <v>SIN CURSO</v>
          </cell>
        </row>
        <row r="52">
          <cell r="E52" t="str">
            <v>20.735.342-6</v>
          </cell>
          <cell r="BY52" t="str">
            <v>SIN CURSO</v>
          </cell>
        </row>
        <row r="53">
          <cell r="E53" t="str">
            <v>22.474.820-5</v>
          </cell>
          <cell r="BY53" t="str">
            <v>SIN CURSO</v>
          </cell>
        </row>
        <row r="54">
          <cell r="E54" t="str">
            <v>21.185.228-3</v>
          </cell>
          <cell r="BY54" t="str">
            <v>SIN CURSO</v>
          </cell>
        </row>
        <row r="55">
          <cell r="E55" t="str">
            <v>12.442.918-8</v>
          </cell>
          <cell r="BU55" t="str">
            <v>CAL237477</v>
          </cell>
          <cell r="BW55">
            <v>46863</v>
          </cell>
          <cell r="BY55" t="str">
            <v>VIGENTE</v>
          </cell>
        </row>
        <row r="56">
          <cell r="E56" t="str">
            <v>12.571.470-6</v>
          </cell>
          <cell r="BU56" t="str">
            <v>FASE 1 MANIPULADOR CAEX 980E Y 930E</v>
          </cell>
          <cell r="BW56">
            <v>46088</v>
          </cell>
          <cell r="BY56" t="str">
            <v>VENCIDO</v>
          </cell>
        </row>
        <row r="57">
          <cell r="E57" t="str">
            <v>24.352.583-7</v>
          </cell>
          <cell r="BY57" t="str">
            <v>SIN CURSO</v>
          </cell>
        </row>
        <row r="58">
          <cell r="E58" t="str">
            <v>19.664.545-4</v>
          </cell>
          <cell r="BU58" t="str">
            <v>FASE 1 MANIPULADOR CAEX 980E Y 930E</v>
          </cell>
          <cell r="BW58">
            <v>46438</v>
          </cell>
          <cell r="BY58" t="str">
            <v>VIGENTE</v>
          </cell>
        </row>
        <row r="59">
          <cell r="E59" t="str">
            <v>18.984.112-4</v>
          </cell>
          <cell r="BY59" t="str">
            <v>SIN CURSO</v>
          </cell>
        </row>
        <row r="60">
          <cell r="E60" t="str">
            <v>17.289.071-7</v>
          </cell>
          <cell r="BU60" t="e">
            <v>#REF!</v>
          </cell>
        </row>
        <row r="61">
          <cell r="E61" t="str">
            <v>16.258.823-0</v>
          </cell>
          <cell r="BY61" t="str">
            <v>SIN CURSO</v>
          </cell>
        </row>
        <row r="62">
          <cell r="E62" t="str">
            <v>16.294.664-1</v>
          </cell>
          <cell r="BY62" t="str">
            <v>SIN CURSO</v>
          </cell>
        </row>
        <row r="63">
          <cell r="E63" t="str">
            <v>19.538.264-6</v>
          </cell>
          <cell r="BY63" t="str">
            <v>SIN CURSO</v>
          </cell>
        </row>
        <row r="64">
          <cell r="E64" t="str">
            <v>17.012.319-0</v>
          </cell>
          <cell r="BU64" t="str">
            <v>FASE 1 MANIPULADOR CAEX 980E Y 930E</v>
          </cell>
          <cell r="BW64">
            <v>46088</v>
          </cell>
          <cell r="BY64" t="str">
            <v>SIN CURSO</v>
          </cell>
        </row>
        <row r="65">
          <cell r="E65" t="str">
            <v>15.979.959-K</v>
          </cell>
          <cell r="BU65" t="str">
            <v>FASE 1 MANIPULADOR CAEX 980E Y 930E/SIN LICENCIA</v>
          </cell>
          <cell r="BW65">
            <v>46309</v>
          </cell>
          <cell r="BY65" t="str">
            <v>VIGENTE</v>
          </cell>
        </row>
        <row r="66">
          <cell r="E66" t="str">
            <v>13.213.836-2</v>
          </cell>
          <cell r="BY66" t="str">
            <v>SIN CURSO</v>
          </cell>
        </row>
        <row r="67">
          <cell r="E67" t="str">
            <v>18.273.568-K</v>
          </cell>
          <cell r="BY67" t="str">
            <v>SIN CURSO</v>
          </cell>
        </row>
        <row r="68">
          <cell r="E68" t="str">
            <v>20.348.189-6</v>
          </cell>
          <cell r="BY68" t="str">
            <v>SIN CURSO</v>
          </cell>
        </row>
        <row r="69">
          <cell r="E69" t="str">
            <v>18.826.957-5</v>
          </cell>
          <cell r="BY69" t="str">
            <v>SIN CURSO</v>
          </cell>
        </row>
        <row r="70">
          <cell r="E70" t="str">
            <v>16.566.699-2</v>
          </cell>
          <cell r="BU70" t="str">
            <v>FASE 3 OPERACIÓN CAEX 980E &amp; 930E</v>
          </cell>
          <cell r="BW70">
            <v>46239</v>
          </cell>
          <cell r="BY70" t="str">
            <v>POR VENCER</v>
          </cell>
        </row>
        <row r="71">
          <cell r="E71" t="str">
            <v>16.560.085-1</v>
          </cell>
          <cell r="BU71" t="e">
            <v>#REF!</v>
          </cell>
          <cell r="BY71" t="str">
            <v>SIN CURSO</v>
          </cell>
        </row>
        <row r="72">
          <cell r="E72" t="str">
            <v>20.352.192-8</v>
          </cell>
          <cell r="BY72" t="str">
            <v>SIN CURSO</v>
          </cell>
        </row>
        <row r="73">
          <cell r="E73" t="str">
            <v>20.600.081-3</v>
          </cell>
          <cell r="BU73" t="str">
            <v>POR PROGRAMAR 02  DE DICIEMBRE INSECAP / NECESITA LOGISTICA</v>
          </cell>
          <cell r="BY73" t="str">
            <v>TOMADO</v>
          </cell>
        </row>
        <row r="74">
          <cell r="E74" t="str">
            <v>17.725.257-3</v>
          </cell>
          <cell r="BY74" t="str">
            <v>SIN CURSO</v>
          </cell>
        </row>
        <row r="75">
          <cell r="E75" t="str">
            <v>25.001.170-9</v>
          </cell>
          <cell r="BU75" t="str">
            <v>FASE 3 OPERACIÓN CAEX 980E &amp; 930E</v>
          </cell>
          <cell r="BW75">
            <v>46088</v>
          </cell>
          <cell r="BY75" t="str">
            <v>GESTIONAR</v>
          </cell>
        </row>
        <row r="76">
          <cell r="E76" t="str">
            <v>12.607.702-5</v>
          </cell>
          <cell r="BU76" t="str">
            <v>FASE 4 ACREDITADO CAEX 980E &amp; 930E</v>
          </cell>
          <cell r="BW76">
            <v>46410</v>
          </cell>
          <cell r="BY76" t="str">
            <v>VIGENTE</v>
          </cell>
        </row>
        <row r="77">
          <cell r="E77" t="str">
            <v>19.351.934-2</v>
          </cell>
          <cell r="BY77" t="str">
            <v>SIN CURSO</v>
          </cell>
        </row>
        <row r="78">
          <cell r="E78" t="str">
            <v>19.980.379-4</v>
          </cell>
          <cell r="BY78" t="str">
            <v>SIN CURSO</v>
          </cell>
        </row>
        <row r="79">
          <cell r="E79" t="str">
            <v>18.124.985-4</v>
          </cell>
          <cell r="BY79" t="str">
            <v>GESTIONAR</v>
          </cell>
        </row>
        <row r="80">
          <cell r="E80" t="str">
            <v>16.062.651-8</v>
          </cell>
          <cell r="BY80" t="str">
            <v>SIN CURSO</v>
          </cell>
        </row>
        <row r="81">
          <cell r="E81" t="str">
            <v>18.506.683-5</v>
          </cell>
          <cell r="BY81" t="str">
            <v>SIN CURSO</v>
          </cell>
        </row>
        <row r="82">
          <cell r="E82" t="str">
            <v>21.140.103-6</v>
          </cell>
          <cell r="BY82" t="str">
            <v>SIN CURSO</v>
          </cell>
        </row>
        <row r="83">
          <cell r="E83" t="str">
            <v>15.067.608-8</v>
          </cell>
          <cell r="BU83" t="str">
            <v>CAL234321</v>
          </cell>
          <cell r="BW83">
            <v>46810</v>
          </cell>
          <cell r="BY83" t="str">
            <v>VIGENTE</v>
          </cell>
        </row>
        <row r="84">
          <cell r="E84" t="str">
            <v>18.943.848-6</v>
          </cell>
          <cell r="BU84" t="str">
            <v>CAL237477</v>
          </cell>
          <cell r="BW84">
            <v>46863</v>
          </cell>
          <cell r="BY84" t="str">
            <v>VIGENTE</v>
          </cell>
        </row>
        <row r="85">
          <cell r="E85" t="str">
            <v>20.921.466-0</v>
          </cell>
          <cell r="BY85" t="str">
            <v>SIN CURSO</v>
          </cell>
        </row>
        <row r="86">
          <cell r="E86" t="str">
            <v>17.445.250-4</v>
          </cell>
          <cell r="BW86">
            <v>45441</v>
          </cell>
          <cell r="BY86" t="str">
            <v>SIN CURSO</v>
          </cell>
        </row>
        <row r="87">
          <cell r="E87" t="str">
            <v>9.133.711-8</v>
          </cell>
          <cell r="BY87" t="str">
            <v>SIN CURSO</v>
          </cell>
        </row>
        <row r="88">
          <cell r="E88" t="str">
            <v>17.902.362-8</v>
          </cell>
          <cell r="BY88" t="str">
            <v>SIN CURSO</v>
          </cell>
        </row>
        <row r="89">
          <cell r="E89" t="str">
            <v>17.453.003-3</v>
          </cell>
          <cell r="BU89" t="e">
            <v>#REF!</v>
          </cell>
          <cell r="BY89" t="str">
            <v>SIN CURSO</v>
          </cell>
        </row>
        <row r="90">
          <cell r="E90" t="str">
            <v>14.590.371-8</v>
          </cell>
          <cell r="BU90" t="str">
            <v>POR PROGRAMAR 02 DE DICIEMBRE INSECAP / CUMMINS GESTIONARÁ LOGISTICA</v>
          </cell>
          <cell r="BY90" t="str">
            <v>TOMADO</v>
          </cell>
        </row>
        <row r="91">
          <cell r="E91" t="str">
            <v>20.133.232-K</v>
          </cell>
          <cell r="BY91" t="str">
            <v>SIN CURSO</v>
          </cell>
        </row>
        <row r="92">
          <cell r="E92" t="str">
            <v>23.455.270-8</v>
          </cell>
          <cell r="BY92" t="str">
            <v>SIN CURSO</v>
          </cell>
        </row>
        <row r="93">
          <cell r="E93" t="str">
            <v>10.089.139-5</v>
          </cell>
          <cell r="BY93" t="str">
            <v>SIN CURSO</v>
          </cell>
        </row>
        <row r="94">
          <cell r="E94" t="str">
            <v>20.352.474-9</v>
          </cell>
          <cell r="BU94" t="str">
            <v>CAL237477</v>
          </cell>
          <cell r="BW94">
            <v>46863</v>
          </cell>
          <cell r="BY94" t="str">
            <v>VIGENTE</v>
          </cell>
        </row>
        <row r="95">
          <cell r="E95" t="str">
            <v>14.509.020-2</v>
          </cell>
          <cell r="BY95" t="str">
            <v>SIN CURSO</v>
          </cell>
        </row>
        <row r="96">
          <cell r="E96" t="str">
            <v>17.163.244-7</v>
          </cell>
          <cell r="BY96" t="str">
            <v>SIN CURSO</v>
          </cell>
        </row>
        <row r="97">
          <cell r="E97" t="str">
            <v>20.082.334-6</v>
          </cell>
          <cell r="BY97" t="str">
            <v>SIN CURSO</v>
          </cell>
        </row>
        <row r="98">
          <cell r="E98" t="str">
            <v>18.757.804-3</v>
          </cell>
          <cell r="BY98" t="str">
            <v>SIN CURSO</v>
          </cell>
        </row>
        <row r="99">
          <cell r="E99" t="str">
            <v>20.399.173-8</v>
          </cell>
          <cell r="BY99" t="str">
            <v>SIN CURSO</v>
          </cell>
        </row>
        <row r="100">
          <cell r="E100" t="str">
            <v>16.466.823-1</v>
          </cell>
          <cell r="BU100" t="str">
            <v>FASE 3 OPERACIÓN CAEX 980E &amp; 930E</v>
          </cell>
          <cell r="BW100">
            <v>46169</v>
          </cell>
          <cell r="BY100" t="str">
            <v>VENCIDO</v>
          </cell>
        </row>
        <row r="101">
          <cell r="E101" t="str">
            <v>20.347.179-3</v>
          </cell>
          <cell r="BY101" t="str">
            <v>SIN CURSO</v>
          </cell>
        </row>
        <row r="102">
          <cell r="E102" t="str">
            <v>17.172.507-0</v>
          </cell>
          <cell r="BY102" t="str">
            <v>SIN CURSO</v>
          </cell>
        </row>
        <row r="103">
          <cell r="E103" t="str">
            <v>18.496.680-8</v>
          </cell>
          <cell r="BU103" t="str">
            <v>FASE 4 ACREDITADO CAEX 980E &amp; 930E</v>
          </cell>
          <cell r="BW103">
            <v>46403</v>
          </cell>
          <cell r="BY103" t="str">
            <v>VIGENTE</v>
          </cell>
        </row>
        <row r="104">
          <cell r="E104" t="str">
            <v>18.183.699-7</v>
          </cell>
          <cell r="BY104" t="str">
            <v>SIN CURSO</v>
          </cell>
        </row>
        <row r="105">
          <cell r="E105" t="str">
            <v>15.615.715-5</v>
          </cell>
          <cell r="BU105" t="e">
            <v>#REF!</v>
          </cell>
        </row>
        <row r="106">
          <cell r="E106" t="str">
            <v>18.179.935-8</v>
          </cell>
          <cell r="BY106" t="str">
            <v>SIN CURSO</v>
          </cell>
        </row>
        <row r="107">
          <cell r="E107" t="str">
            <v>15.013.964-3</v>
          </cell>
          <cell r="BY107" t="str">
            <v>SIN CURSO</v>
          </cell>
        </row>
        <row r="108">
          <cell r="E108" t="str">
            <v>14.601.156-K</v>
          </cell>
          <cell r="BU108" t="str">
            <v>CAL237477</v>
          </cell>
          <cell r="BW108">
            <v>46863</v>
          </cell>
          <cell r="BY108" t="str">
            <v>VIGENTE</v>
          </cell>
        </row>
        <row r="109">
          <cell r="E109" t="str">
            <v>19.206.141-5</v>
          </cell>
          <cell r="BU109" t="str">
            <v>FASE 1 MANIPULADOR CAEX 980E Y 930E</v>
          </cell>
          <cell r="BW109">
            <v>46309</v>
          </cell>
          <cell r="BY109" t="str">
            <v>VIGENTE</v>
          </cell>
        </row>
        <row r="110">
          <cell r="E110" t="str">
            <v>19.352.615-2</v>
          </cell>
          <cell r="BY110" t="str">
            <v>SIN CURSO</v>
          </cell>
        </row>
        <row r="111">
          <cell r="E111" t="str">
            <v>18.521.184-3</v>
          </cell>
          <cell r="BU111" t="str">
            <v>FASE 1 MANIPULADOR CAEX 980E Y 930E/SIN LICENCIA</v>
          </cell>
          <cell r="BW111">
            <v>46403</v>
          </cell>
          <cell r="BY111" t="str">
            <v>VIGENTE</v>
          </cell>
        </row>
        <row r="112">
          <cell r="E112" t="str">
            <v>17.492.399-K</v>
          </cell>
          <cell r="BY112" t="str">
            <v>SIN CURSO</v>
          </cell>
        </row>
        <row r="113">
          <cell r="E113" t="str">
            <v>15.947.238-8</v>
          </cell>
          <cell r="BY113" t="str">
            <v>SIN CURSO</v>
          </cell>
        </row>
        <row r="114">
          <cell r="E114" t="str">
            <v>17.092.818-0</v>
          </cell>
          <cell r="BU114" t="str">
            <v>POR PROGRAMAR 25 DE NOVIEMBRE INSECAP / CONFIRMADO NO QUIERE LOGISTICA</v>
          </cell>
          <cell r="BY114" t="str">
            <v>TOMADO</v>
          </cell>
        </row>
        <row r="115">
          <cell r="E115" t="str">
            <v>13.532.619-4</v>
          </cell>
          <cell r="BY115" t="str">
            <v>SIN CURSO</v>
          </cell>
        </row>
        <row r="116">
          <cell r="E116" t="str">
            <v>19.467.265-9</v>
          </cell>
          <cell r="BU116" t="str">
            <v>FASE 1 MANIPULADOR CAEX 980E Y 930E</v>
          </cell>
          <cell r="BW116">
            <v>46438</v>
          </cell>
          <cell r="BY116" t="str">
            <v>VIGENTE</v>
          </cell>
        </row>
        <row r="117">
          <cell r="E117" t="str">
            <v>18.343.068-8</v>
          </cell>
          <cell r="BU117" t="str">
            <v>FASE 1 MANIPULADOR CAEX 980E Y 930E</v>
          </cell>
          <cell r="BW117">
            <v>46172</v>
          </cell>
          <cell r="BY117" t="str">
            <v>VENCIDO</v>
          </cell>
        </row>
        <row r="118">
          <cell r="E118" t="str">
            <v>16.593.690-6</v>
          </cell>
          <cell r="BY118" t="str">
            <v>SIN CURSO</v>
          </cell>
        </row>
        <row r="119">
          <cell r="E119" t="str">
            <v>17.246.054-2</v>
          </cell>
          <cell r="BY119" t="str">
            <v>SIN CURSO</v>
          </cell>
        </row>
        <row r="120">
          <cell r="E120" t="str">
            <v>22.856.322-6</v>
          </cell>
          <cell r="BY120" t="str">
            <v>SIN CURSO</v>
          </cell>
        </row>
        <row r="121">
          <cell r="E121" t="str">
            <v>13.632.298-2</v>
          </cell>
          <cell r="BU121" t="e">
            <v>#REF!</v>
          </cell>
          <cell r="BY121" t="str">
            <v>SIN CURSO</v>
          </cell>
        </row>
        <row r="122">
          <cell r="E122" t="str">
            <v>18.825.583-3</v>
          </cell>
          <cell r="BY122" t="str">
            <v>SIN CURSO</v>
          </cell>
        </row>
        <row r="123">
          <cell r="E123" t="str">
            <v>20.451.662-6</v>
          </cell>
          <cell r="BU123" t="e">
            <v>#REF!</v>
          </cell>
          <cell r="BY123" t="str">
            <v>SIN CURSO</v>
          </cell>
        </row>
        <row r="124">
          <cell r="E124" t="str">
            <v>15.970.156-5</v>
          </cell>
          <cell r="BY124" t="str">
            <v>SIN CURSO</v>
          </cell>
        </row>
        <row r="125">
          <cell r="E125" t="str">
            <v>13.217.405-9</v>
          </cell>
          <cell r="BU125" t="str">
            <v>CAL237477</v>
          </cell>
          <cell r="BW125">
            <v>46863</v>
          </cell>
          <cell r="BY125" t="str">
            <v>VIGENTE</v>
          </cell>
        </row>
        <row r="126">
          <cell r="E126" t="str">
            <v>16.868.973-K</v>
          </cell>
          <cell r="BY126" t="str">
            <v>SIN CURSO</v>
          </cell>
        </row>
        <row r="127">
          <cell r="E127" t="str">
            <v>14.535.481-1</v>
          </cell>
          <cell r="BU127" t="str">
            <v>CAL234321</v>
          </cell>
          <cell r="BW127">
            <v>46810</v>
          </cell>
          <cell r="BY127" t="str">
            <v>VIGENTE</v>
          </cell>
        </row>
        <row r="128">
          <cell r="E128" t="str">
            <v>15.705.129-6</v>
          </cell>
          <cell r="BY128" t="str">
            <v>SIN CURSO</v>
          </cell>
        </row>
        <row r="129">
          <cell r="E129" t="str">
            <v>17.392.038-5</v>
          </cell>
          <cell r="BY129" t="str">
            <v>SIN CURSO</v>
          </cell>
        </row>
        <row r="130">
          <cell r="E130" t="str">
            <v>18.960.586-2</v>
          </cell>
          <cell r="BU130" t="e">
            <v>#REF!</v>
          </cell>
          <cell r="BY130" t="str">
            <v>SIN CURSO</v>
          </cell>
        </row>
        <row r="131">
          <cell r="E131" t="str">
            <v>16.829.133-7</v>
          </cell>
          <cell r="BY131" t="str">
            <v>SIN CURSO</v>
          </cell>
        </row>
        <row r="132">
          <cell r="E132" t="str">
            <v>14.412.026-4</v>
          </cell>
          <cell r="BY132" t="str">
            <v>GESTIONAR</v>
          </cell>
        </row>
        <row r="133">
          <cell r="E133" t="str">
            <v>16.591.798-7</v>
          </cell>
          <cell r="BU133" t="str">
            <v>CAL237477</v>
          </cell>
          <cell r="BW133">
            <v>46863</v>
          </cell>
          <cell r="BY133" t="str">
            <v>VIGENTE</v>
          </cell>
        </row>
        <row r="134">
          <cell r="E134" t="str">
            <v>20.981.687-3</v>
          </cell>
          <cell r="BU134" t="str">
            <v>FASE 1 MANIPULADOR CAEX 980E Y 930E/SIN LICENCIA</v>
          </cell>
          <cell r="BW134">
            <v>46403</v>
          </cell>
          <cell r="BY134" t="str">
            <v>VIGENTE</v>
          </cell>
        </row>
        <row r="135">
          <cell r="E135" t="str">
            <v>13.176.816-8</v>
          </cell>
          <cell r="BU135" t="str">
            <v>FASE 4 ACREDITADO CAEX 980E &amp; 930E</v>
          </cell>
          <cell r="BW135">
            <v>46410</v>
          </cell>
          <cell r="BY135" t="str">
            <v>VIGENTE</v>
          </cell>
        </row>
        <row r="136">
          <cell r="E136" t="str">
            <v>12.832.205-1</v>
          </cell>
          <cell r="BY136" t="str">
            <v>SIN CURSO</v>
          </cell>
        </row>
        <row r="137">
          <cell r="E137" t="str">
            <v>19.950.603-K</v>
          </cell>
          <cell r="BY137" t="str">
            <v>SIN CURSO</v>
          </cell>
        </row>
        <row r="138">
          <cell r="E138" t="str">
            <v>21.025.276-2</v>
          </cell>
          <cell r="BY138" t="str">
            <v>SIN CURSO</v>
          </cell>
        </row>
        <row r="139">
          <cell r="E139" t="str">
            <v>19.826.194-7</v>
          </cell>
          <cell r="BY139" t="str">
            <v>SIN CURSO</v>
          </cell>
        </row>
        <row r="140">
          <cell r="E140" t="str">
            <v>17.018.417-3</v>
          </cell>
          <cell r="BY140" t="str">
            <v>SIN CURSO</v>
          </cell>
        </row>
        <row r="141">
          <cell r="E141" t="str">
            <v>17.012.480-4</v>
          </cell>
          <cell r="BY141" t="str">
            <v>SIN CURSO</v>
          </cell>
        </row>
        <row r="142">
          <cell r="E142" t="str">
            <v>19.871.539-5</v>
          </cell>
          <cell r="BY142" t="str">
            <v>SIN CURSO</v>
          </cell>
        </row>
        <row r="143">
          <cell r="E143" t="str">
            <v>17.656.059-2</v>
          </cell>
          <cell r="BU143" t="str">
            <v>FASE 1 MANIPULADOR CAEX 980E Y 930E</v>
          </cell>
          <cell r="BW143">
            <v>46309</v>
          </cell>
          <cell r="BY143" t="str">
            <v>VIGENTE</v>
          </cell>
        </row>
        <row r="144">
          <cell r="E144" t="str">
            <v>17.246.344-4</v>
          </cell>
          <cell r="BU144" t="str">
            <v>FASE 4 ACREDITADO CAEX 980E &amp; 930E</v>
          </cell>
          <cell r="BW144">
            <v>46410</v>
          </cell>
          <cell r="BY144" t="str">
            <v>VIGENTE</v>
          </cell>
        </row>
        <row r="145">
          <cell r="E145" t="str">
            <v>19.303.000-9</v>
          </cell>
          <cell r="BU145" t="str">
            <v>POR PROGRAMAR 25 DE NOVIEMBRE INSECAP / CUMMINS GESTIONARÁ LOGISTICA</v>
          </cell>
          <cell r="BW145">
            <v>46880</v>
          </cell>
          <cell r="BY145" t="str">
            <v>VIGENTE</v>
          </cell>
        </row>
        <row r="146">
          <cell r="E146" t="str">
            <v>19.334.828-9</v>
          </cell>
          <cell r="BU146" t="e">
            <v>#REF!</v>
          </cell>
          <cell r="BY146" t="str">
            <v>SIN CURSO</v>
          </cell>
        </row>
        <row r="147">
          <cell r="E147" t="str">
            <v>19.852.159-0</v>
          </cell>
          <cell r="BY147" t="str">
            <v>SIN CURSO</v>
          </cell>
        </row>
        <row r="148">
          <cell r="E148" t="str">
            <v>21.467.074-7</v>
          </cell>
          <cell r="BY148" t="str">
            <v>SIN CURSO</v>
          </cell>
        </row>
        <row r="149">
          <cell r="E149" t="str">
            <v>18.125.329-0</v>
          </cell>
          <cell r="BY149" t="str">
            <v>SIN CURSO</v>
          </cell>
        </row>
        <row r="150">
          <cell r="E150" t="str">
            <v>17.528.299-8</v>
          </cell>
          <cell r="BY150" t="str">
            <v>GESTIONAR</v>
          </cell>
        </row>
        <row r="151">
          <cell r="E151" t="str">
            <v>17.279.846-2</v>
          </cell>
          <cell r="BY151" t="str">
            <v>SIN CURSO</v>
          </cell>
        </row>
        <row r="152">
          <cell r="E152" t="str">
            <v>18.353.265-0</v>
          </cell>
          <cell r="BU152" t="str">
            <v>FASE 1 MANIPULADOR CAEX 980E Y 930E</v>
          </cell>
          <cell r="BW152">
            <v>46438</v>
          </cell>
          <cell r="BY152" t="str">
            <v>VIGENTE</v>
          </cell>
        </row>
        <row r="153">
          <cell r="E153" t="str">
            <v>21.256.995-K</v>
          </cell>
          <cell r="BU153" t="e">
            <v>#REF!</v>
          </cell>
          <cell r="BY153" t="str">
            <v>SIN CURSO</v>
          </cell>
        </row>
        <row r="154">
          <cell r="E154" t="str">
            <v>17.737.054-1</v>
          </cell>
          <cell r="BU154" t="str">
            <v>FASE 4 ACREDITADO CAEX 980E &amp; 930E</v>
          </cell>
          <cell r="BW154">
            <v>46410</v>
          </cell>
          <cell r="BY154" t="str">
            <v>VIGENTE</v>
          </cell>
        </row>
        <row r="155">
          <cell r="E155" t="str">
            <v>14.581.463-4</v>
          </cell>
          <cell r="BU155" t="str">
            <v>FASE 4 ACREDITADO CAEX 980E &amp; 930E</v>
          </cell>
          <cell r="BW155">
            <v>46410</v>
          </cell>
          <cell r="BY155" t="str">
            <v>VIGENTE</v>
          </cell>
        </row>
        <row r="156">
          <cell r="E156" t="str">
            <v>16.785.107-K</v>
          </cell>
          <cell r="BU156" t="str">
            <v>FASE 4 ACREDITADO CAEX 980E &amp; 930E</v>
          </cell>
          <cell r="BW156">
            <v>46410</v>
          </cell>
          <cell r="BY156" t="str">
            <v>VIGENTE</v>
          </cell>
        </row>
        <row r="157">
          <cell r="E157" t="str">
            <v>17.654.265-9</v>
          </cell>
          <cell r="BU157" t="str">
            <v>CAL237477</v>
          </cell>
          <cell r="BW157">
            <v>46863</v>
          </cell>
          <cell r="BY157" t="str">
            <v>VIGENTE</v>
          </cell>
        </row>
        <row r="158">
          <cell r="E158" t="str">
            <v>19.205.067-7</v>
          </cell>
          <cell r="BY158" t="str">
            <v>SIN CURSO</v>
          </cell>
        </row>
        <row r="159">
          <cell r="E159" t="str">
            <v>22.671.424-3</v>
          </cell>
          <cell r="BY159" t="str">
            <v>SIN CURSO</v>
          </cell>
        </row>
        <row r="160">
          <cell r="E160" t="str">
            <v>14.419.175-7</v>
          </cell>
          <cell r="BY160" t="str">
            <v>SIN CURSO</v>
          </cell>
        </row>
        <row r="161">
          <cell r="E161" t="str">
            <v>18.843.422-3</v>
          </cell>
          <cell r="BU161" t="str">
            <v>POR PROGRAMAR 02 DE DICIEMBRE INSECAP / CUMMINS GESTIONARÁ LOGISTICA</v>
          </cell>
          <cell r="BY161" t="str">
            <v>TOMADO</v>
          </cell>
        </row>
        <row r="162">
          <cell r="E162" t="str">
            <v>17.452.286-3</v>
          </cell>
          <cell r="BY162" t="str">
            <v>SIN CURSO</v>
          </cell>
        </row>
        <row r="163">
          <cell r="E163" t="str">
            <v>16.453.544-4</v>
          </cell>
          <cell r="BU163" t="e">
            <v>#REF!</v>
          </cell>
        </row>
        <row r="164">
          <cell r="E164" t="str">
            <v>21.671.127-0</v>
          </cell>
          <cell r="BU164" t="e">
            <v>#REF!</v>
          </cell>
          <cell r="BY164" t="str">
            <v>SIN CURSO</v>
          </cell>
        </row>
        <row r="165">
          <cell r="E165" t="str">
            <v>18.826.074-8</v>
          </cell>
          <cell r="BY165" t="str">
            <v>SIN CURSO</v>
          </cell>
        </row>
        <row r="166">
          <cell r="E166" t="str">
            <v>14.309.408-1</v>
          </cell>
          <cell r="BU166" t="str">
            <v>CAL237477</v>
          </cell>
          <cell r="BW166">
            <v>46863</v>
          </cell>
          <cell r="BY166" t="str">
            <v>VIGENTE</v>
          </cell>
        </row>
        <row r="167">
          <cell r="E167" t="str">
            <v>10.649.920-9</v>
          </cell>
          <cell r="BU167" t="str">
            <v>FASE 1 MANIPULADOR CAEX 980E Y 930E</v>
          </cell>
          <cell r="BW167">
            <v>46081</v>
          </cell>
          <cell r="BY167" t="str">
            <v>VENCIDO</v>
          </cell>
        </row>
        <row r="168">
          <cell r="E168" t="str">
            <v>15.015.302-6</v>
          </cell>
          <cell r="BU168" t="str">
            <v>FALTA PRACTICO (TEORICO 21-09-23)</v>
          </cell>
          <cell r="BY168" t="str">
            <v>SIN CURSO</v>
          </cell>
        </row>
        <row r="169">
          <cell r="E169" t="str">
            <v>15.733.220-1</v>
          </cell>
          <cell r="BU169" t="str">
            <v>FASE 4 ACREDITADO CAEX 980E &amp; 930E</v>
          </cell>
          <cell r="BW169">
            <v>46410</v>
          </cell>
          <cell r="BY169" t="str">
            <v>VIGENTE</v>
          </cell>
        </row>
        <row r="170">
          <cell r="E170" t="str">
            <v>16.565.053-0</v>
          </cell>
          <cell r="BY170" t="str">
            <v>SIN CURSO</v>
          </cell>
        </row>
        <row r="171">
          <cell r="E171" t="str">
            <v>15.812.632-k</v>
          </cell>
          <cell r="BY171" t="str">
            <v>SIN CURSO</v>
          </cell>
        </row>
        <row r="172">
          <cell r="E172" t="str">
            <v>18.884.949-0</v>
          </cell>
          <cell r="BY172" t="str">
            <v>SIN CURSO</v>
          </cell>
        </row>
        <row r="173">
          <cell r="E173" t="str">
            <v>20.766.075-2</v>
          </cell>
          <cell r="BY173" t="str">
            <v>SIN CURSO</v>
          </cell>
        </row>
        <row r="174">
          <cell r="E174" t="str">
            <v>16.705.838-8</v>
          </cell>
          <cell r="BU174" t="str">
            <v>POR PROGRAMAR 02 DE DICIEMBRE INSECAP / CUMMINS GESTIONARÁ LOGISTICA</v>
          </cell>
          <cell r="BY174" t="str">
            <v>TOMADO</v>
          </cell>
        </row>
        <row r="175">
          <cell r="E175" t="str">
            <v>16.602.123-5</v>
          </cell>
          <cell r="BY175" t="str">
            <v>SIN CURSO</v>
          </cell>
        </row>
        <row r="176">
          <cell r="E176" t="str">
            <v>22.198.005-0</v>
          </cell>
          <cell r="BU176" t="e">
            <v>#REF!</v>
          </cell>
          <cell r="BY176" t="str">
            <v>SIN CURSO</v>
          </cell>
        </row>
        <row r="177">
          <cell r="E177" t="str">
            <v>15.000.986-3</v>
          </cell>
          <cell r="BY177" t="str">
            <v>SIN CURSO</v>
          </cell>
        </row>
        <row r="178">
          <cell r="E178" t="str">
            <v>18.539.817-K</v>
          </cell>
          <cell r="BY178" t="str">
            <v>SIN CURSO</v>
          </cell>
        </row>
        <row r="179">
          <cell r="E179" t="str">
            <v>16.326.687-3</v>
          </cell>
          <cell r="BY179" t="str">
            <v>SIN CURSO</v>
          </cell>
        </row>
        <row r="180">
          <cell r="E180" t="str">
            <v>23.692.021-6</v>
          </cell>
          <cell r="BY180" t="str">
            <v>SIN CURSO</v>
          </cell>
        </row>
        <row r="181">
          <cell r="E181" t="str">
            <v>19.099.699-9</v>
          </cell>
          <cell r="BU181" t="str">
            <v>FASE 1 MANIPULADOR CAEX 980E Y 930E</v>
          </cell>
          <cell r="BW181">
            <v>46309</v>
          </cell>
          <cell r="BY181" t="str">
            <v>VIGENTE</v>
          </cell>
        </row>
        <row r="182">
          <cell r="E182" t="str">
            <v>17.536.144-8</v>
          </cell>
          <cell r="BU182" t="str">
            <v>FASE 4 ACREDITADO CAEX 980E &amp; 930E</v>
          </cell>
          <cell r="BW182">
            <v>46403</v>
          </cell>
          <cell r="BY182" t="str">
            <v>VIGENTE</v>
          </cell>
        </row>
        <row r="183">
          <cell r="E183" t="str">
            <v>14.109.358-4</v>
          </cell>
          <cell r="BU183" t="str">
            <v>FASE 1 MANIPULADOR CAEX 980E Y 930E/SIN LICENCIA</v>
          </cell>
          <cell r="BW183">
            <v>46309</v>
          </cell>
          <cell r="BY183" t="str">
            <v>VIGENTE</v>
          </cell>
        </row>
        <row r="184">
          <cell r="E184" t="str">
            <v>16.226.957-7</v>
          </cell>
          <cell r="BU184" t="str">
            <v>FASE 1 MANIPULADOR CAEX 980E Y 930E</v>
          </cell>
          <cell r="BW184">
            <v>46309</v>
          </cell>
          <cell r="BY184" t="str">
            <v>VIGENTE</v>
          </cell>
        </row>
        <row r="185">
          <cell r="E185" t="str">
            <v>16.595.622-2</v>
          </cell>
          <cell r="BY185" t="str">
            <v>SIN CURSO</v>
          </cell>
        </row>
        <row r="186">
          <cell r="E186" t="str">
            <v>19.552.202-2</v>
          </cell>
          <cell r="BY186" t="str">
            <v>SIN CURSO</v>
          </cell>
        </row>
        <row r="187">
          <cell r="E187" t="str">
            <v>20.526.016-1</v>
          </cell>
          <cell r="BY187" t="str">
            <v>SIN CURSO</v>
          </cell>
        </row>
        <row r="188">
          <cell r="E188" t="str">
            <v>16.259.980-1</v>
          </cell>
          <cell r="BY188" t="str">
            <v>SIN CURSO</v>
          </cell>
        </row>
        <row r="189">
          <cell r="E189" t="str">
            <v>12.427.793-0</v>
          </cell>
          <cell r="BY189" t="str">
            <v>SIN CURSO</v>
          </cell>
        </row>
        <row r="190">
          <cell r="E190" t="str">
            <v>18.184.333-0</v>
          </cell>
          <cell r="BY190" t="str">
            <v>SIN CURSO</v>
          </cell>
        </row>
        <row r="191">
          <cell r="E191" t="str">
            <v>15.513.831-9</v>
          </cell>
          <cell r="BY191" t="str">
            <v>SIN CURSO</v>
          </cell>
        </row>
        <row r="192">
          <cell r="E192" t="str">
            <v>16.274.559-K</v>
          </cell>
          <cell r="BU192" t="str">
            <v>FASE 1 MANIPULADOR CAEX 980E Y 930E</v>
          </cell>
          <cell r="BW192">
            <v>45851</v>
          </cell>
          <cell r="BY192" t="str">
            <v>SIN CURSO</v>
          </cell>
        </row>
        <row r="193">
          <cell r="E193" t="str">
            <v>14.706.187-0</v>
          </cell>
          <cell r="BU193" t="str">
            <v>POR PROGRAMAR 25 DE DICIEMBRE INSECAP / CUMMINS GESTIONARÁ LOGISTICA</v>
          </cell>
          <cell r="BW193">
            <v>46880</v>
          </cell>
          <cell r="BY193" t="str">
            <v>VIGENTE</v>
          </cell>
        </row>
        <row r="194">
          <cell r="E194" t="str">
            <v>17.715.371-0</v>
          </cell>
          <cell r="BU194" t="str">
            <v>CAL237477</v>
          </cell>
          <cell r="BW194">
            <v>46863</v>
          </cell>
          <cell r="BY194" t="str">
            <v>VIGENTE</v>
          </cell>
        </row>
        <row r="195">
          <cell r="E195" t="str">
            <v>13.181.955-2</v>
          </cell>
          <cell r="BU195" t="str">
            <v>FASE 4 ACREDITADO CAEX 980E &amp; 930E</v>
          </cell>
          <cell r="BW195">
            <v>46403</v>
          </cell>
          <cell r="BY195" t="str">
            <v>VIGENTE</v>
          </cell>
        </row>
        <row r="196">
          <cell r="E196" t="str">
            <v>19.864.093-K</v>
          </cell>
          <cell r="BY196" t="str">
            <v>SIN CURSO</v>
          </cell>
        </row>
        <row r="197">
          <cell r="E197" t="str">
            <v>18.371.885-1</v>
          </cell>
          <cell r="BY197" t="str">
            <v>SIN CURSO</v>
          </cell>
        </row>
        <row r="198">
          <cell r="E198" t="str">
            <v>16.110.624-0</v>
          </cell>
          <cell r="BY198" t="str">
            <v>SIN CURSO</v>
          </cell>
        </row>
        <row r="199">
          <cell r="E199" t="str">
            <v>18.684.183-2</v>
          </cell>
          <cell r="BY199" t="str">
            <v>SIN CURSO</v>
          </cell>
        </row>
        <row r="200">
          <cell r="E200" t="str">
            <v>14.308.582-1</v>
          </cell>
          <cell r="BY200" t="str">
            <v>SIN CURSO</v>
          </cell>
        </row>
        <row r="201">
          <cell r="E201" t="str">
            <v>19.253.066-0</v>
          </cell>
          <cell r="BY201" t="str">
            <v>SIN CURSO</v>
          </cell>
        </row>
        <row r="202">
          <cell r="E202" t="str">
            <v>17.655.977-2</v>
          </cell>
          <cell r="BY202" t="str">
            <v>SIN CURSO</v>
          </cell>
        </row>
        <row r="203">
          <cell r="E203" t="str">
            <v>25.252.912-8</v>
          </cell>
          <cell r="BU203" t="e">
            <v>#REF!</v>
          </cell>
          <cell r="BY203" t="str">
            <v>SIN CURSO</v>
          </cell>
        </row>
        <row r="204">
          <cell r="E204" t="str">
            <v>18.483.911-3</v>
          </cell>
          <cell r="BU204" t="str">
            <v>CAL237477</v>
          </cell>
          <cell r="BW204">
            <v>46863</v>
          </cell>
          <cell r="BY204" t="str">
            <v>VIGENTE</v>
          </cell>
        </row>
        <row r="205">
          <cell r="E205" t="str">
            <v>20.553.857-7</v>
          </cell>
          <cell r="BU205" t="e">
            <v>#REF!</v>
          </cell>
          <cell r="BY205" t="str">
            <v>SIN CURSO</v>
          </cell>
        </row>
        <row r="206">
          <cell r="E206" t="str">
            <v>11.101.351-9</v>
          </cell>
          <cell r="BY206" t="str">
            <v>SIN CURSO</v>
          </cell>
        </row>
        <row r="207">
          <cell r="E207" t="str">
            <v>19.398.640-4</v>
          </cell>
          <cell r="BY207" t="str">
            <v>SIN CURSO</v>
          </cell>
        </row>
        <row r="208">
          <cell r="E208" t="str">
            <v>16.280.945-8</v>
          </cell>
          <cell r="BY208" t="str">
            <v>SIN CURSO</v>
          </cell>
        </row>
        <row r="209">
          <cell r="E209" t="str">
            <v>14.393.784-4</v>
          </cell>
          <cell r="BU209" t="str">
            <v>DIPLOMA VIGENTE HASTA 27-05-2026 ,PERO NO TIENE LICENCIA D</v>
          </cell>
          <cell r="BW209">
            <v>46169</v>
          </cell>
          <cell r="BY209" t="str">
            <v>SIN CURSO</v>
          </cell>
        </row>
        <row r="210">
          <cell r="E210" t="str">
            <v>13.418.195-8</v>
          </cell>
          <cell r="BU210" t="str">
            <v>POR PROGRAMAR 25 DE NOVIEMBRE INSECAP / CUMMINS GESTIONARÁ LOGISTICA</v>
          </cell>
          <cell r="BW210">
            <v>46880</v>
          </cell>
          <cell r="BY210" t="str">
            <v>VIGENTE</v>
          </cell>
        </row>
        <row r="211">
          <cell r="E211" t="str">
            <v>20.228.794-8</v>
          </cell>
          <cell r="BU211" t="str">
            <v>POR PROGRAMAR 02 DE DICIEMBRE INSECAP / NO NECESITA LOGISTICA</v>
          </cell>
          <cell r="BY211" t="str">
            <v>TOMADO</v>
          </cell>
        </row>
        <row r="212">
          <cell r="E212" t="str">
            <v>19.147.854-1</v>
          </cell>
          <cell r="BY212" t="str">
            <v>SIN CURSO</v>
          </cell>
        </row>
        <row r="213">
          <cell r="E213" t="str">
            <v>19.205.023-5</v>
          </cell>
          <cell r="BY213" t="str">
            <v>SIN CURSO</v>
          </cell>
        </row>
        <row r="214">
          <cell r="E214" t="str">
            <v>20.966.538-7</v>
          </cell>
          <cell r="BY214" t="str">
            <v>SIN CURSO</v>
          </cell>
        </row>
        <row r="215">
          <cell r="E215" t="str">
            <v>19.969.028-0</v>
          </cell>
          <cell r="BU215" t="str">
            <v>CAL237477</v>
          </cell>
          <cell r="BW215">
            <v>46863</v>
          </cell>
          <cell r="BY215" t="str">
            <v>VIGENTE</v>
          </cell>
        </row>
        <row r="216">
          <cell r="E216" t="str">
            <v>20.525.806-K</v>
          </cell>
          <cell r="BU216" t="e">
            <v>#REF!</v>
          </cell>
          <cell r="BY216" t="str">
            <v>SIN CURSO</v>
          </cell>
        </row>
        <row r="217">
          <cell r="E217" t="str">
            <v>10.487.640-4</v>
          </cell>
          <cell r="BY217" t="str">
            <v>SIN CURSO</v>
          </cell>
        </row>
        <row r="218">
          <cell r="E218" t="str">
            <v>17.174.175-0</v>
          </cell>
          <cell r="BY218" t="str">
            <v>SIN CURSO</v>
          </cell>
        </row>
        <row r="219">
          <cell r="E219" t="str">
            <v>10.050.588-6</v>
          </cell>
          <cell r="BU219" t="str">
            <v>FASE 4 ACREDITADO CAEX 980E &amp; 930E</v>
          </cell>
          <cell r="BW219">
            <v>46403</v>
          </cell>
          <cell r="BY219" t="str">
            <v>VIGENTE</v>
          </cell>
        </row>
        <row r="220">
          <cell r="E220" t="str">
            <v>17.656.770-8</v>
          </cell>
          <cell r="BU220" t="str">
            <v>FASE 4 ACREDITADO CAEX 980E &amp; 930E</v>
          </cell>
          <cell r="BW220">
            <v>46403</v>
          </cell>
          <cell r="BY220" t="str">
            <v>VIGENTE</v>
          </cell>
        </row>
        <row r="221">
          <cell r="E221" t="str">
            <v>17.744.634-3</v>
          </cell>
          <cell r="BY221" t="str">
            <v>SIN CURSO</v>
          </cell>
        </row>
        <row r="222">
          <cell r="E222" t="str">
            <v>10.978.655-1</v>
          </cell>
          <cell r="BY222" t="str">
            <v>SIN CURSO</v>
          </cell>
        </row>
        <row r="223">
          <cell r="E223" t="str">
            <v>14.553.839-4</v>
          </cell>
          <cell r="BY223" t="str">
            <v>SIN CURSO</v>
          </cell>
        </row>
        <row r="224">
          <cell r="E224" t="str">
            <v>21.403.466-2</v>
          </cell>
          <cell r="BY224" t="str">
            <v>SIN CURSO</v>
          </cell>
        </row>
        <row r="225">
          <cell r="E225" t="str">
            <v>15.149.160-K</v>
          </cell>
          <cell r="BY225" t="str">
            <v>SIN CURSO</v>
          </cell>
        </row>
        <row r="226">
          <cell r="E226" t="str">
            <v>19.694.614-4</v>
          </cell>
          <cell r="BY226" t="str">
            <v>SIN CURSO</v>
          </cell>
        </row>
        <row r="227">
          <cell r="E227" t="str">
            <v>20.167.551-0</v>
          </cell>
          <cell r="BU227" t="e">
            <v>#REF!</v>
          </cell>
        </row>
        <row r="228">
          <cell r="E228" t="str">
            <v>16.059.741-0</v>
          </cell>
          <cell r="BU228" t="str">
            <v>CAL234321</v>
          </cell>
          <cell r="BW228">
            <v>46810</v>
          </cell>
          <cell r="BY228" t="str">
            <v>VIGENTE</v>
          </cell>
        </row>
        <row r="229">
          <cell r="E229" t="str">
            <v>12.947.052-6</v>
          </cell>
          <cell r="BU229" t="str">
            <v>FASE 4 ACREDITADO CAEX 980E &amp; 930E</v>
          </cell>
          <cell r="BW229">
            <v>46403</v>
          </cell>
          <cell r="BY229" t="str">
            <v>VIGENTE</v>
          </cell>
        </row>
        <row r="230">
          <cell r="E230" t="str">
            <v>19.812.358-7</v>
          </cell>
          <cell r="BU230" t="str">
            <v>POR PROGRAMAR 25 DE NOVIEMBRE INSECAP / CUMMINS GESTIONARÁ LOGISTICA</v>
          </cell>
          <cell r="BW230">
            <v>46880</v>
          </cell>
          <cell r="BY230" t="str">
            <v>VIGENTE</v>
          </cell>
        </row>
        <row r="231">
          <cell r="E231" t="str">
            <v>17.655.738-9</v>
          </cell>
          <cell r="BY231" t="str">
            <v>SIN CURSO</v>
          </cell>
        </row>
        <row r="232">
          <cell r="E232" t="str">
            <v>17.093.556-K</v>
          </cell>
          <cell r="BU232" t="str">
            <v>CAL234321</v>
          </cell>
          <cell r="BW232">
            <v>46810</v>
          </cell>
          <cell r="BY232" t="str">
            <v>VIGENTE</v>
          </cell>
        </row>
        <row r="233">
          <cell r="E233" t="str">
            <v>13.417.664-4</v>
          </cell>
          <cell r="BY233" t="str">
            <v>SIN CURSO</v>
          </cell>
        </row>
        <row r="234">
          <cell r="E234" t="str">
            <v>20.274.683-7</v>
          </cell>
          <cell r="BY234" t="str">
            <v>SIN CURSO</v>
          </cell>
        </row>
        <row r="235">
          <cell r="E235" t="str">
            <v>13.632.538-8</v>
          </cell>
          <cell r="BU235" t="str">
            <v>FASE 4 ACREDITADO CAEX 980E &amp; 930E</v>
          </cell>
          <cell r="BW235">
            <v>46403</v>
          </cell>
          <cell r="BY235" t="str">
            <v>VIGENTE</v>
          </cell>
        </row>
        <row r="236">
          <cell r="E236" t="str">
            <v>15.710.636-8</v>
          </cell>
          <cell r="BU236" t="str">
            <v>FASE 4 ACREDITADO CAEX 980E &amp; 930E</v>
          </cell>
          <cell r="BW236">
            <v>46410</v>
          </cell>
          <cell r="BY236" t="str">
            <v>VIGENTE</v>
          </cell>
        </row>
        <row r="237">
          <cell r="E237" t="str">
            <v>13.358.502-8</v>
          </cell>
          <cell r="BU237" t="str">
            <v>FASE 4 ACREDITADO CAEX 980E &amp; 930E</v>
          </cell>
          <cell r="BW237">
            <v>46403</v>
          </cell>
          <cell r="BY237" t="str">
            <v>VIGENTE</v>
          </cell>
        </row>
        <row r="238">
          <cell r="E238" t="str">
            <v>16.565.997-K</v>
          </cell>
          <cell r="BY238" t="str">
            <v>SIN CURSO</v>
          </cell>
        </row>
        <row r="239">
          <cell r="E239" t="str">
            <v>21.387.458-6</v>
          </cell>
          <cell r="BY239" t="str">
            <v>SIN CURSO</v>
          </cell>
        </row>
        <row r="240">
          <cell r="E240" t="str">
            <v>14.413.359-5</v>
          </cell>
          <cell r="BU240" t="e">
            <v>#REF!</v>
          </cell>
        </row>
        <row r="241">
          <cell r="E241" t="str">
            <v>17.846.810-3</v>
          </cell>
          <cell r="BY241" t="str">
            <v>SIN CURSO</v>
          </cell>
        </row>
        <row r="242">
          <cell r="E242" t="str">
            <v>19.252.860-7</v>
          </cell>
          <cell r="BY242" t="str">
            <v>SIN CURSO</v>
          </cell>
        </row>
        <row r="243">
          <cell r="E243" t="str">
            <v>14.104.128-2</v>
          </cell>
          <cell r="BU243" t="str">
            <v>FASE 4 ACREDITADO CAEX 980E &amp; 930E</v>
          </cell>
          <cell r="BW243">
            <v>46410</v>
          </cell>
          <cell r="BY243" t="str">
            <v>VIGENTE</v>
          </cell>
        </row>
        <row r="244">
          <cell r="E244" t="str">
            <v>21.579.333-8</v>
          </cell>
          <cell r="BY244" t="str">
            <v>SIN CURSO</v>
          </cell>
        </row>
        <row r="245">
          <cell r="E245" t="str">
            <v>20.352.538-9</v>
          </cell>
          <cell r="BU245" t="str">
            <v>POR PROGRAMAR 02 DE DICIEMBRE INSECAP / CUMMINS GESTIONARÁ LOGISTICA</v>
          </cell>
          <cell r="BY245" t="str">
            <v>TOMADO</v>
          </cell>
        </row>
        <row r="246">
          <cell r="E246" t="str">
            <v>20.381.171-3</v>
          </cell>
          <cell r="BY246" t="str">
            <v>SIN CURSO</v>
          </cell>
        </row>
        <row r="247">
          <cell r="E247" t="str">
            <v>20.348.504-2</v>
          </cell>
          <cell r="BY247" t="str">
            <v>SIN CURSO</v>
          </cell>
        </row>
        <row r="248">
          <cell r="E248" t="str">
            <v>19.869.128-3</v>
          </cell>
          <cell r="BY248" t="str">
            <v>SIN CURSO</v>
          </cell>
        </row>
        <row r="249">
          <cell r="E249" t="str">
            <v>19.432.300-K</v>
          </cell>
          <cell r="BY249" t="str">
            <v>SIN CURSO</v>
          </cell>
        </row>
        <row r="250">
          <cell r="E250" t="str">
            <v>20.352.297-5</v>
          </cell>
          <cell r="BY250" t="str">
            <v>GESTIONAR</v>
          </cell>
        </row>
        <row r="251">
          <cell r="E251" t="str">
            <v>11.932.173-5</v>
          </cell>
          <cell r="BU251" t="str">
            <v>FASE 1 MANIPULADOR CAEX 980E Y 930E</v>
          </cell>
          <cell r="BW251">
            <v>46309</v>
          </cell>
          <cell r="BY251" t="str">
            <v>VIGENTE</v>
          </cell>
        </row>
        <row r="252">
          <cell r="E252" t="str">
            <v>18.739.471-6</v>
          </cell>
          <cell r="BY252" t="str">
            <v>SIN CURSO</v>
          </cell>
        </row>
        <row r="253">
          <cell r="E253" t="str">
            <v>14.382.887-5</v>
          </cell>
          <cell r="BY253" t="str">
            <v>SIN CURSO</v>
          </cell>
        </row>
        <row r="254">
          <cell r="E254" t="str">
            <v>16.549.827-5</v>
          </cell>
          <cell r="BY254" t="str">
            <v>SIN CURSO</v>
          </cell>
        </row>
        <row r="255">
          <cell r="E255" t="str">
            <v>14.572.120-2</v>
          </cell>
          <cell r="BU255" t="str">
            <v>CAL234321</v>
          </cell>
          <cell r="BW255">
            <v>46810</v>
          </cell>
          <cell r="BY255" t="str">
            <v>VIGENTE</v>
          </cell>
        </row>
        <row r="256">
          <cell r="E256" t="str">
            <v>19.824.676-K</v>
          </cell>
          <cell r="BY256" t="str">
            <v>SIN CURSO</v>
          </cell>
        </row>
        <row r="257">
          <cell r="E257" t="str">
            <v>16.441.116-8</v>
          </cell>
          <cell r="BU257" t="e">
            <v>#REF!</v>
          </cell>
          <cell r="BY257" t="str">
            <v>SIN CURSO</v>
          </cell>
        </row>
        <row r="258">
          <cell r="E258" t="str">
            <v>19.955.138-8</v>
          </cell>
          <cell r="BY258" t="str">
            <v>SIN CURSO</v>
          </cell>
        </row>
        <row r="259">
          <cell r="E259" t="str">
            <v>10.174.644-5</v>
          </cell>
          <cell r="BY259" t="str">
            <v>SIN CURSO</v>
          </cell>
        </row>
        <row r="260">
          <cell r="E260" t="str">
            <v>20.734.361-7</v>
          </cell>
          <cell r="BY260" t="str">
            <v>SIN CURSO</v>
          </cell>
        </row>
        <row r="261">
          <cell r="E261" t="str">
            <v>19.357.254-5</v>
          </cell>
          <cell r="BU261" t="str">
            <v>PENDIENTE CERTIFICADO POR MODIFICACIÓN</v>
          </cell>
          <cell r="BW261">
            <v>46880</v>
          </cell>
          <cell r="BY261" t="str">
            <v>VIGENTE</v>
          </cell>
        </row>
        <row r="262">
          <cell r="E262" t="str">
            <v>14.568.854-K</v>
          </cell>
          <cell r="BU262" t="str">
            <v>FASE 4 ACREDITADO CAEX 980E &amp; 930E</v>
          </cell>
          <cell r="BW262">
            <v>46410</v>
          </cell>
          <cell r="BY262" t="str">
            <v>VIGENTE</v>
          </cell>
        </row>
        <row r="263">
          <cell r="E263" t="str">
            <v>14.560.342-0</v>
          </cell>
          <cell r="BY263" t="str">
            <v>SIN CURSO</v>
          </cell>
        </row>
        <row r="264">
          <cell r="E264" t="str">
            <v>20.751.658-9</v>
          </cell>
          <cell r="BY264" t="str">
            <v>SIN CURSO</v>
          </cell>
        </row>
        <row r="265">
          <cell r="E265" t="str">
            <v>20.561.647-0</v>
          </cell>
          <cell r="BU265" t="e">
            <v>#REF!</v>
          </cell>
          <cell r="BY265" t="str">
            <v>SIN CURSO</v>
          </cell>
        </row>
        <row r="266">
          <cell r="E266" t="str">
            <v>18.503.272-8</v>
          </cell>
          <cell r="BY266" t="str">
            <v>SIN CURSO</v>
          </cell>
        </row>
        <row r="267">
          <cell r="E267" t="str">
            <v>18.827.199-5</v>
          </cell>
          <cell r="BY267" t="str">
            <v>SIN CURSO</v>
          </cell>
        </row>
        <row r="268">
          <cell r="E268" t="str">
            <v>24.098.819-k</v>
          </cell>
          <cell r="BU268" t="str">
            <v>POR PROGRAMAR 25 DE DICIEMBRE INSECAP / CUMMINS GESTIONARÁ LOGISTICA</v>
          </cell>
          <cell r="BW268">
            <v>46880</v>
          </cell>
          <cell r="BY268" t="str">
            <v>VIGENTE</v>
          </cell>
        </row>
        <row r="269">
          <cell r="E269" t="str">
            <v>19.104.562-9</v>
          </cell>
          <cell r="BY269" t="str">
            <v>SIN CURSO</v>
          </cell>
        </row>
        <row r="270">
          <cell r="E270" t="str">
            <v>10.920.581-8</v>
          </cell>
          <cell r="BY270" t="str">
            <v>SIN CURSO</v>
          </cell>
        </row>
        <row r="271">
          <cell r="E271" t="str">
            <v>9.941.712-9</v>
          </cell>
          <cell r="BY271" t="str">
            <v>GESTIONAR</v>
          </cell>
        </row>
        <row r="272">
          <cell r="E272" t="str">
            <v>17.165.030-5</v>
          </cell>
          <cell r="BY272" t="str">
            <v>SIN CURSO</v>
          </cell>
        </row>
        <row r="273">
          <cell r="E273" t="str">
            <v>16.565.094-8</v>
          </cell>
          <cell r="BU273" t="str">
            <v>CAL234321</v>
          </cell>
          <cell r="BW273">
            <v>46810</v>
          </cell>
          <cell r="BY273" t="str">
            <v>VIGENTE</v>
          </cell>
        </row>
        <row r="274">
          <cell r="E274" t="str">
            <v>17.277.568-3</v>
          </cell>
          <cell r="BY274" t="str">
            <v>SIN CURSO</v>
          </cell>
        </row>
        <row r="275">
          <cell r="E275" t="str">
            <v>17.644.439-8</v>
          </cell>
          <cell r="BU275" t="str">
            <v>CAL233675</v>
          </cell>
          <cell r="BW275">
            <v>46803</v>
          </cell>
          <cell r="BY275" t="str">
            <v>VIGENTE</v>
          </cell>
        </row>
        <row r="276">
          <cell r="E276" t="str">
            <v>12.834.811-5</v>
          </cell>
          <cell r="BU276" t="str">
            <v>FASE 4 ACREDITADO CAEX 980E &amp; 930E</v>
          </cell>
          <cell r="BW276">
            <v>46403</v>
          </cell>
          <cell r="BY276" t="str">
            <v>VIGENTE</v>
          </cell>
        </row>
        <row r="277">
          <cell r="E277" t="str">
            <v>17.121.472-6</v>
          </cell>
          <cell r="BY277" t="str">
            <v>SIN CURSO</v>
          </cell>
        </row>
        <row r="278">
          <cell r="E278" t="str">
            <v>19.898.803-0</v>
          </cell>
          <cell r="BY278" t="str">
            <v>SIN CURSO</v>
          </cell>
        </row>
        <row r="279">
          <cell r="E279" t="str">
            <v>16.352.371-K</v>
          </cell>
          <cell r="BU279" t="str">
            <v>FASE 4 ACREDITADO CAEX 980E &amp; 930E</v>
          </cell>
          <cell r="BW279">
            <v>46403</v>
          </cell>
          <cell r="BY279" t="str">
            <v>VIGENTE</v>
          </cell>
        </row>
        <row r="280">
          <cell r="E280" t="str">
            <v>19.206.106-7</v>
          </cell>
          <cell r="BU280" t="str">
            <v>CAL234321</v>
          </cell>
          <cell r="BW280">
            <v>46810</v>
          </cell>
          <cell r="BY280" t="str">
            <v>VIGENTE</v>
          </cell>
        </row>
        <row r="281">
          <cell r="E281" t="str">
            <v>18.972.102-1</v>
          </cell>
          <cell r="BY281" t="str">
            <v>SIN CURSO</v>
          </cell>
        </row>
        <row r="282">
          <cell r="E282" t="str">
            <v>17.245.903-K</v>
          </cell>
          <cell r="BY282" t="str">
            <v>SIN CURSO</v>
          </cell>
        </row>
        <row r="283">
          <cell r="E283" t="str">
            <v>18.710.278-2</v>
          </cell>
          <cell r="BU283" t="str">
            <v>PENDIENTE CERTIFICADO POR MODIFICACIÓN</v>
          </cell>
          <cell r="BW283">
            <v>46880</v>
          </cell>
          <cell r="BY283" t="str">
            <v>VIGENTE</v>
          </cell>
        </row>
        <row r="284">
          <cell r="E284" t="str">
            <v>18.125.375-4</v>
          </cell>
          <cell r="BY284" t="str">
            <v>SIN CURSO</v>
          </cell>
        </row>
        <row r="285">
          <cell r="E285" t="str">
            <v>19.692.071-4</v>
          </cell>
          <cell r="BY285" t="str">
            <v>SIN CURSO</v>
          </cell>
        </row>
        <row r="286">
          <cell r="E286" t="str">
            <v>15.947.993-5</v>
          </cell>
          <cell r="BY286" t="str">
            <v>SIN CURSO</v>
          </cell>
        </row>
        <row r="287">
          <cell r="E287" t="str">
            <v>13.632.774-7</v>
          </cell>
          <cell r="BY287" t="str">
            <v>SIN CURSO</v>
          </cell>
        </row>
        <row r="288">
          <cell r="E288" t="str">
            <v>17.093.275-7</v>
          </cell>
          <cell r="BU288" t="str">
            <v>FASE 1 MANIPULADOR CAEX 980E Y 930E/SIN LICENCIA</v>
          </cell>
          <cell r="BW288">
            <v>46309</v>
          </cell>
          <cell r="BY288" t="str">
            <v>VIGENTE</v>
          </cell>
        </row>
        <row r="289">
          <cell r="E289" t="str">
            <v>18.521.278-5</v>
          </cell>
          <cell r="BU289" t="str">
            <v>FASE 4 ACREDITADO CAEX 980E &amp; 930E</v>
          </cell>
          <cell r="BW289">
            <v>46403</v>
          </cell>
          <cell r="BY289" t="str">
            <v>VIGENTE</v>
          </cell>
        </row>
        <row r="290">
          <cell r="E290" t="str">
            <v>20.399.802-3</v>
          </cell>
          <cell r="BU290" t="e">
            <v>#REF!</v>
          </cell>
          <cell r="BY290" t="str">
            <v>SIN CURSO</v>
          </cell>
        </row>
        <row r="291">
          <cell r="E291" t="str">
            <v>19.552.493-9</v>
          </cell>
          <cell r="BU291" t="str">
            <v>PENDIENTE CERTIFICADO POR MODIFICACIÓN</v>
          </cell>
          <cell r="BW291">
            <v>46880</v>
          </cell>
          <cell r="BY291" t="str">
            <v>VIGENTE</v>
          </cell>
        </row>
        <row r="292">
          <cell r="E292" t="str">
            <v>15.924.486-5</v>
          </cell>
          <cell r="BU292" t="e">
            <v>#REF!</v>
          </cell>
        </row>
        <row r="293">
          <cell r="E293" t="str">
            <v>19.968.816-2</v>
          </cell>
          <cell r="BY293" t="str">
            <v>SIN CURSO</v>
          </cell>
        </row>
        <row r="294">
          <cell r="E294" t="str">
            <v>19.373.808-7</v>
          </cell>
          <cell r="BU294" t="str">
            <v>PENDIENTE CERTIFICADO POR MODIFICACIÓN</v>
          </cell>
          <cell r="BW294">
            <v>46880</v>
          </cell>
          <cell r="BY294" t="str">
            <v>VIGENTE</v>
          </cell>
        </row>
        <row r="295">
          <cell r="E295" t="str">
            <v>17.093.254-4</v>
          </cell>
          <cell r="BU295" t="str">
            <v>CAL237477</v>
          </cell>
          <cell r="BW295">
            <v>46863</v>
          </cell>
          <cell r="BY295" t="str">
            <v>VIGENTE</v>
          </cell>
        </row>
        <row r="296">
          <cell r="E296" t="str">
            <v>16.927.573-4</v>
          </cell>
          <cell r="BY296" t="str">
            <v>SIN CURSO</v>
          </cell>
        </row>
        <row r="297">
          <cell r="E297" t="str">
            <v>20.274.345-5</v>
          </cell>
          <cell r="BY297" t="str">
            <v>SIN CURSO</v>
          </cell>
        </row>
        <row r="298">
          <cell r="E298" t="str">
            <v>20.352.648-2</v>
          </cell>
          <cell r="BY298" t="str">
            <v>SIN CURSO</v>
          </cell>
        </row>
        <row r="299">
          <cell r="E299" t="str">
            <v>20.911.553-0</v>
          </cell>
          <cell r="BY299" t="str">
            <v>SIN CURSO</v>
          </cell>
        </row>
        <row r="300">
          <cell r="E300" t="str">
            <v>17.828.739-7</v>
          </cell>
          <cell r="BY300" t="str">
            <v>SIN CURSO</v>
          </cell>
        </row>
        <row r="301">
          <cell r="E301" t="str">
            <v>19.496.336-K</v>
          </cell>
          <cell r="BU301" t="str">
            <v>CAL237477</v>
          </cell>
          <cell r="BW301">
            <v>46863</v>
          </cell>
          <cell r="BY301" t="str">
            <v>VIGENTE</v>
          </cell>
        </row>
        <row r="302">
          <cell r="E302" t="str">
            <v>10.628.033-9</v>
          </cell>
          <cell r="BU302" t="str">
            <v>CAL237477</v>
          </cell>
          <cell r="BW302">
            <v>46863</v>
          </cell>
          <cell r="BY302" t="str">
            <v>VIGENTE</v>
          </cell>
        </row>
        <row r="303">
          <cell r="E303" t="str">
            <v>15.015.934-2</v>
          </cell>
          <cell r="BY303" t="str">
            <v>SIN CURSO</v>
          </cell>
        </row>
        <row r="304">
          <cell r="E304" t="str">
            <v>16.623.732-7</v>
          </cell>
          <cell r="BU304" t="e">
            <v>#REF!</v>
          </cell>
        </row>
        <row r="305">
          <cell r="E305" t="str">
            <v>8.265.686-3</v>
          </cell>
          <cell r="BU305" t="str">
            <v>FASE 4 ACREDITADO CAEX 980E &amp; 930E</v>
          </cell>
          <cell r="BW305">
            <v>46403</v>
          </cell>
          <cell r="BY305" t="str">
            <v>VIGENTE</v>
          </cell>
        </row>
        <row r="306">
          <cell r="E306" t="str">
            <v>16.833.226-2</v>
          </cell>
          <cell r="BY306" t="str">
            <v>SIN CURSO</v>
          </cell>
        </row>
        <row r="307">
          <cell r="E307" t="str">
            <v>21.717.144-K</v>
          </cell>
          <cell r="BU307" t="e">
            <v>#REF!</v>
          </cell>
          <cell r="BY307" t="str">
            <v>SIN CURSO</v>
          </cell>
        </row>
        <row r="308">
          <cell r="E308" t="str">
            <v>23.295.011-0</v>
          </cell>
          <cell r="BY308" t="str">
            <v>SIN CURSO</v>
          </cell>
        </row>
        <row r="309">
          <cell r="E309" t="str">
            <v>16.869.300-1</v>
          </cell>
          <cell r="BU309" t="str">
            <v>POR PROGRAMAR 02 DE DICIEMBRE INSECAP / CUMMINS GESTIONARÁ LOGISTICA</v>
          </cell>
          <cell r="BY309" t="str">
            <v>TOMADO</v>
          </cell>
        </row>
        <row r="310">
          <cell r="E310" t="str">
            <v>13.745.129-8</v>
          </cell>
          <cell r="BY310" t="str">
            <v>SIN CURSO</v>
          </cell>
        </row>
        <row r="311">
          <cell r="E311" t="str">
            <v>12.530.524-5</v>
          </cell>
          <cell r="BY311" t="str">
            <v>SIN CURSO</v>
          </cell>
        </row>
        <row r="312">
          <cell r="E312" t="str">
            <v>16.333.563-8</v>
          </cell>
          <cell r="BU312" t="str">
            <v>CAL234321</v>
          </cell>
          <cell r="BW312">
            <v>46810</v>
          </cell>
          <cell r="BY312" t="str">
            <v>VIGENTE</v>
          </cell>
        </row>
        <row r="313">
          <cell r="E313" t="str">
            <v>16.333.563-8</v>
          </cell>
          <cell r="BY313" t="str">
            <v>SIN CURSO</v>
          </cell>
        </row>
        <row r="314">
          <cell r="E314" t="str">
            <v>17.284.691-2</v>
          </cell>
          <cell r="BU314" t="str">
            <v>FALTA PRACTICO (TEORICO 21-09-23)</v>
          </cell>
          <cell r="BY314" t="str">
            <v>SIN CURSO</v>
          </cell>
        </row>
        <row r="315">
          <cell r="E315" t="str">
            <v>15.011.725-9</v>
          </cell>
          <cell r="BY315" t="str">
            <v>SIN CURSO</v>
          </cell>
        </row>
        <row r="316">
          <cell r="E316" t="str">
            <v>17.000.591-0</v>
          </cell>
          <cell r="BU316" t="str">
            <v>CAL237477</v>
          </cell>
          <cell r="BW316">
            <v>46863</v>
          </cell>
          <cell r="BY316" t="str">
            <v>VIGENTE</v>
          </cell>
        </row>
        <row r="317">
          <cell r="E317" t="str">
            <v>19.505.098-8</v>
          </cell>
          <cell r="BY317" t="str">
            <v>SIN CURSO</v>
          </cell>
        </row>
        <row r="318">
          <cell r="E318" t="str">
            <v>20.441.738-5</v>
          </cell>
          <cell r="BU318" t="str">
            <v>CAL234321</v>
          </cell>
          <cell r="BW318">
            <v>46810</v>
          </cell>
          <cell r="BY318" t="str">
            <v>VIGENTE</v>
          </cell>
        </row>
        <row r="319">
          <cell r="E319" t="str">
            <v>13.633.602-9</v>
          </cell>
          <cell r="BY319" t="str">
            <v>SIN CURSO</v>
          </cell>
        </row>
        <row r="320">
          <cell r="E320" t="str">
            <v>18.520.943-1</v>
          </cell>
          <cell r="BY320" t="str">
            <v>SIN CURSO</v>
          </cell>
        </row>
        <row r="321">
          <cell r="E321" t="str">
            <v>18.002.649-5</v>
          </cell>
          <cell r="BY321" t="str">
            <v>SIN CURSO</v>
          </cell>
        </row>
        <row r="322">
          <cell r="E322" t="str">
            <v>17.126.398-0</v>
          </cell>
          <cell r="BY322" t="str">
            <v>SIN CURSO</v>
          </cell>
        </row>
        <row r="323">
          <cell r="E323" t="str">
            <v>16.059.866-2</v>
          </cell>
          <cell r="BU323" t="str">
            <v>FASE 1 MANIPULADOR CAEX 980E Y 930E/SIN LICENCIA</v>
          </cell>
          <cell r="BW323">
            <v>46309</v>
          </cell>
          <cell r="BY323" t="str">
            <v>VIGENTE</v>
          </cell>
        </row>
        <row r="324">
          <cell r="E324" t="str">
            <v>15.947.812-2</v>
          </cell>
          <cell r="BY324" t="str">
            <v>SIN CURSO</v>
          </cell>
        </row>
        <row r="325">
          <cell r="E325" t="str">
            <v>18.183.575-3</v>
          </cell>
          <cell r="BY325" t="str">
            <v>SIN CURSO</v>
          </cell>
        </row>
        <row r="326">
          <cell r="E326" t="str">
            <v>19.824.546-1</v>
          </cell>
          <cell r="BU326" t="e">
            <v>#REF!</v>
          </cell>
        </row>
        <row r="327">
          <cell r="E327" t="str">
            <v>19.538.030-9</v>
          </cell>
          <cell r="BY327" t="str">
            <v>SIN CURSO</v>
          </cell>
        </row>
        <row r="328">
          <cell r="E328" t="str">
            <v>17.829.620-5</v>
          </cell>
          <cell r="BY328" t="str">
            <v>SIN CURSO</v>
          </cell>
        </row>
        <row r="329">
          <cell r="E329" t="str">
            <v>17.974.271-3</v>
          </cell>
          <cell r="BY329" t="str">
            <v>SIN CURSO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7C9A-3728-45FE-AA64-45A55B2ECF82}">
  <sheetPr filterMode="1"/>
  <dimension ref="A1:E306"/>
  <sheetViews>
    <sheetView tabSelected="1" workbookViewId="0">
      <selection activeCell="E2" sqref="E2:E306"/>
    </sheetView>
  </sheetViews>
  <sheetFormatPr baseColWidth="10" defaultColWidth="11" defaultRowHeight="14.5" x14ac:dyDescent="0.35"/>
  <cols>
    <col min="1" max="1" width="8.36328125" bestFit="1" customWidth="1"/>
    <col min="2" max="2" width="23.54296875" bestFit="1" customWidth="1"/>
    <col min="3" max="3" width="14.26953125" customWidth="1"/>
    <col min="4" max="4" width="11.36328125" style="1" bestFit="1" customWidth="1"/>
    <col min="5" max="5" width="8.36328125" bestFit="1" customWidth="1"/>
  </cols>
  <sheetData>
    <row r="1" spans="1:5" x14ac:dyDescent="0.35">
      <c r="A1" s="17" t="s">
        <v>614</v>
      </c>
      <c r="B1" s="17" t="s">
        <v>613</v>
      </c>
      <c r="C1" s="17" t="s">
        <v>612</v>
      </c>
      <c r="D1" s="18" t="s">
        <v>611</v>
      </c>
      <c r="E1" s="17" t="s">
        <v>610</v>
      </c>
    </row>
    <row r="2" spans="1:5" hidden="1" x14ac:dyDescent="0.35">
      <c r="A2" s="4" t="s">
        <v>609</v>
      </c>
      <c r="B2" s="4" t="s">
        <v>608</v>
      </c>
      <c r="C2" s="2" t="e">
        <f ca="1">_xlfn.XLOOKUP(A:A,[1]Matriz!$E:$E,[1]Matriz!$BU:$BU)</f>
        <v>#REF!</v>
      </c>
      <c r="D2" s="3">
        <f>_xlfn.XLOOKUP(A:A,[1]Matriz!$E:$E,[1]Matriz!$BW:$BW)</f>
        <v>0</v>
      </c>
      <c r="E2" s="2" t="str">
        <f ca="1">_xlfn.XLOOKUP(A:A,[1]Matriz!$E:$E,[1]Matriz!$BY:$BY)</f>
        <v>SIN CURSO</v>
      </c>
    </row>
    <row r="3" spans="1:5" hidden="1" x14ac:dyDescent="0.35">
      <c r="A3" s="4" t="s">
        <v>607</v>
      </c>
      <c r="B3" s="4" t="s">
        <v>606</v>
      </c>
      <c r="C3" s="2" t="e">
        <f ca="1">_xlfn.XLOOKUP(A:A,[1]Matriz!$E:$E,[1]Matriz!$BU:$BU)</f>
        <v>#REF!</v>
      </c>
      <c r="D3" s="3">
        <f>_xlfn.XLOOKUP(A:A,[1]Matriz!$E:$E,[1]Matriz!$BW:$BW)</f>
        <v>0</v>
      </c>
      <c r="E3" s="2" t="str">
        <f>_xlfn.XLOOKUP(A:A,[1]Matriz!$E:$E,[1]Matriz!$BY:$BY)</f>
        <v>SIN CURSO</v>
      </c>
    </row>
    <row r="4" spans="1:5" hidden="1" x14ac:dyDescent="0.35">
      <c r="A4" s="4" t="s">
        <v>605</v>
      </c>
      <c r="B4" s="4" t="s">
        <v>604</v>
      </c>
      <c r="C4" s="2" t="e">
        <f ca="1">_xlfn.XLOOKUP(A:A,[1]Matriz!$E:$E,[1]Matriz!$BU:$BU)</f>
        <v>#REF!</v>
      </c>
      <c r="D4" s="3">
        <f>_xlfn.XLOOKUP(A:A,[1]Matriz!$E:$E,[1]Matriz!$BW:$BW)</f>
        <v>0</v>
      </c>
      <c r="E4" s="2" t="str">
        <f ca="1">_xlfn.XLOOKUP(A:A,[1]Matriz!$E:$E,[1]Matriz!$BY:$BY)</f>
        <v>SIN CURSO</v>
      </c>
    </row>
    <row r="5" spans="1:5" hidden="1" x14ac:dyDescent="0.35">
      <c r="A5" s="4" t="s">
        <v>603</v>
      </c>
      <c r="B5" s="4" t="s">
        <v>602</v>
      </c>
      <c r="C5" s="2" t="str">
        <f>_xlfn.XLOOKUP(A:A,[1]Matriz!$E:$E,[1]Matriz!$BU:$BU)</f>
        <v>CAL237477</v>
      </c>
      <c r="D5" s="3">
        <f>_xlfn.XLOOKUP(A:A,[1]Matriz!$E:$E,[1]Matriz!$BW:$BW)</f>
        <v>46863</v>
      </c>
      <c r="E5" s="2" t="str">
        <f ca="1">_xlfn.XLOOKUP(A:A,[1]Matriz!$E:$E,[1]Matriz!$BY:$BY)</f>
        <v>VIGENTE</v>
      </c>
    </row>
    <row r="6" spans="1:5" hidden="1" x14ac:dyDescent="0.35">
      <c r="A6" s="4" t="s">
        <v>601</v>
      </c>
      <c r="B6" s="4" t="s">
        <v>600</v>
      </c>
      <c r="C6" s="2" t="e">
        <f ca="1">_xlfn.XLOOKUP(A:A,[1]Matriz!$E:$E,[1]Matriz!$BU:$BU)</f>
        <v>#REF!</v>
      </c>
      <c r="D6" s="3">
        <f>_xlfn.XLOOKUP(A:A,[1]Matriz!$E:$E,[1]Matriz!$BW:$BW)</f>
        <v>0</v>
      </c>
      <c r="E6" s="2" t="str">
        <f ca="1">_xlfn.XLOOKUP(A:A,[1]Matriz!$E:$E,[1]Matriz!$BY:$BY)</f>
        <v>SIN CURSO</v>
      </c>
    </row>
    <row r="7" spans="1:5" hidden="1" x14ac:dyDescent="0.35">
      <c r="A7" s="4" t="s">
        <v>599</v>
      </c>
      <c r="B7" s="4" t="s">
        <v>598</v>
      </c>
      <c r="C7" s="2">
        <f>_xlfn.XLOOKUP(A:A,[1]Matriz!$E:$E,[1]Matriz!$BU:$BU)</f>
        <v>0</v>
      </c>
      <c r="D7" s="3">
        <f>_xlfn.XLOOKUP(A:A,[1]Matriz!$E:$E,[1]Matriz!$BW:$BW)</f>
        <v>0</v>
      </c>
      <c r="E7" s="2" t="str">
        <f ca="1">_xlfn.XLOOKUP(A:A,[1]Matriz!$E:$E,[1]Matriz!$BY:$BY)</f>
        <v>SIN CURSO</v>
      </c>
    </row>
    <row r="8" spans="1:5" hidden="1" x14ac:dyDescent="0.35">
      <c r="A8" s="4" t="s">
        <v>597</v>
      </c>
      <c r="B8" s="4" t="s">
        <v>596</v>
      </c>
      <c r="C8" s="2" t="e">
        <f ca="1">_xlfn.XLOOKUP(A:A,[1]Matriz!$E:$E,[1]Matriz!$BU:$BU)</f>
        <v>#REF!</v>
      </c>
      <c r="D8" s="3">
        <f>_xlfn.XLOOKUP(A:A,[1]Matriz!$E:$E,[1]Matriz!$BW:$BW)</f>
        <v>0</v>
      </c>
      <c r="E8" s="2" t="str">
        <f ca="1">_xlfn.XLOOKUP(A:A,[1]Matriz!$E:$E,[1]Matriz!$BY:$BY)</f>
        <v>SIN CURSO</v>
      </c>
    </row>
    <row r="9" spans="1:5" hidden="1" x14ac:dyDescent="0.35">
      <c r="A9" s="4" t="s">
        <v>595</v>
      </c>
      <c r="B9" s="4" t="s">
        <v>594</v>
      </c>
      <c r="C9" s="2">
        <f>_xlfn.XLOOKUP(A:A,[1]Matriz!$E:$E,[1]Matriz!$BU:$BU)</f>
        <v>0</v>
      </c>
      <c r="D9" s="3">
        <f>_xlfn.XLOOKUP(A:A,[1]Matriz!$E:$E,[1]Matriz!$BW:$BW)</f>
        <v>0</v>
      </c>
      <c r="E9" s="2" t="str">
        <f ca="1">_xlfn.XLOOKUP(A:A,[1]Matriz!$E:$E,[1]Matriz!$BY:$BY)</f>
        <v>SIN CURSO</v>
      </c>
    </row>
    <row r="10" spans="1:5" hidden="1" x14ac:dyDescent="0.35">
      <c r="A10" s="4" t="s">
        <v>593</v>
      </c>
      <c r="B10" s="12" t="s">
        <v>592</v>
      </c>
      <c r="C10" s="2" t="str">
        <f>_xlfn.XLOOKUP(A:A,[1]Matriz!$E:$E,[1]Matriz!$BU:$BU)</f>
        <v>FASE 4 ACREDITADO CAEX 980E &amp; 930E</v>
      </c>
      <c r="D10" s="3">
        <f>_xlfn.XLOOKUP(A:A,[1]Matriz!$E:$E,[1]Matriz!$BW:$BW)</f>
        <v>46410</v>
      </c>
      <c r="E10" s="2" t="str">
        <f ca="1">_xlfn.XLOOKUP(A:A,[1]Matriz!$E:$E,[1]Matriz!$BY:$BY)</f>
        <v>VIGENTE</v>
      </c>
    </row>
    <row r="11" spans="1:5" hidden="1" x14ac:dyDescent="0.35">
      <c r="A11" s="16" t="s">
        <v>591</v>
      </c>
      <c r="B11" s="4" t="s">
        <v>590</v>
      </c>
      <c r="C11" s="2" t="str">
        <f>_xlfn.XLOOKUP(A:A,[1]Matriz!$E:$E,[1]Matriz!$BU:$BU)</f>
        <v>FASE 1 MANIPULADOR CAEX 980E Y 930E/SIN LICENCIA</v>
      </c>
      <c r="D11" s="3">
        <f>_xlfn.XLOOKUP(A:A,[1]Matriz!$E:$E,[1]Matriz!$BW:$BW)</f>
        <v>46088</v>
      </c>
      <c r="E11" s="2" t="str">
        <f ca="1">_xlfn.XLOOKUP(A:A,[1]Matriz!$E:$E,[1]Matriz!$BY:$BY)</f>
        <v>VENCIDO</v>
      </c>
    </row>
    <row r="12" spans="1:5" hidden="1" x14ac:dyDescent="0.35">
      <c r="A12" s="4" t="s">
        <v>589</v>
      </c>
      <c r="B12" s="4" t="s">
        <v>588</v>
      </c>
      <c r="C12" s="2" t="str">
        <f>_xlfn.XLOOKUP(A:A,[1]Matriz!$E:$E,[1]Matriz!$BU:$BU)</f>
        <v>CAL237477</v>
      </c>
      <c r="D12" s="3">
        <f>_xlfn.XLOOKUP(A:A,[1]Matriz!$E:$E,[1]Matriz!$BW:$BW)</f>
        <v>46863</v>
      </c>
      <c r="E12" s="2" t="str">
        <f ca="1">_xlfn.XLOOKUP(A:A,[1]Matriz!$E:$E,[1]Matriz!$BY:$BY)</f>
        <v>VIGENTE</v>
      </c>
    </row>
    <row r="13" spans="1:5" hidden="1" x14ac:dyDescent="0.35">
      <c r="A13" s="4" t="s">
        <v>587</v>
      </c>
      <c r="B13" s="4" t="s">
        <v>586</v>
      </c>
      <c r="C13" s="2" t="str">
        <f>_xlfn.XLOOKUP(A:A,[1]Matriz!$E:$E,[1]Matriz!$BU:$BU)</f>
        <v>CAL237477</v>
      </c>
      <c r="D13" s="3">
        <f>_xlfn.XLOOKUP(A:A,[1]Matriz!$E:$E,[1]Matriz!$BW:$BW)</f>
        <v>46863</v>
      </c>
      <c r="E13" s="2" t="str">
        <f ca="1">_xlfn.XLOOKUP(A:A,[1]Matriz!$E:$E,[1]Matriz!$BY:$BY)</f>
        <v>VIGENTE</v>
      </c>
    </row>
    <row r="14" spans="1:5" hidden="1" x14ac:dyDescent="0.35">
      <c r="A14" s="4" t="s">
        <v>585</v>
      </c>
      <c r="B14" s="4" t="s">
        <v>584</v>
      </c>
      <c r="C14" s="2" t="str">
        <f>_xlfn.XLOOKUP(A:A,[1]Matriz!$E:$E,[1]Matriz!$BU:$BU)</f>
        <v>FASE 1 MANIPULADOR CAEX 980E Y 930E</v>
      </c>
      <c r="D14" s="3">
        <f>_xlfn.XLOOKUP(A:A,[1]Matriz!$E:$E,[1]Matriz!$BW:$BW)</f>
        <v>46309</v>
      </c>
      <c r="E14" s="2" t="str">
        <f ca="1">_xlfn.XLOOKUP(A:A,[1]Matriz!$E:$E,[1]Matriz!$BY:$BY)</f>
        <v>VIGENTE</v>
      </c>
    </row>
    <row r="15" spans="1:5" hidden="1" x14ac:dyDescent="0.35">
      <c r="A15" s="4" t="s">
        <v>583</v>
      </c>
      <c r="B15" s="4" t="s">
        <v>582</v>
      </c>
      <c r="C15" s="2" t="str">
        <f>_xlfn.XLOOKUP(A:A,[1]Matriz!$E:$E,[1]Matriz!$BU:$BU)</f>
        <v>FASE 4 ACREDITADO CAEX 980E &amp; 930E</v>
      </c>
      <c r="D15" s="3">
        <f>_xlfn.XLOOKUP(A:A,[1]Matriz!$E:$E,[1]Matriz!$BW:$BW)</f>
        <v>46410</v>
      </c>
      <c r="E15" s="2" t="str">
        <f ca="1">_xlfn.XLOOKUP(A:A,[1]Matriz!$E:$E,[1]Matriz!$BY:$BY)</f>
        <v>VIGENTE</v>
      </c>
    </row>
    <row r="16" spans="1:5" hidden="1" x14ac:dyDescent="0.35">
      <c r="A16" s="4" t="s">
        <v>581</v>
      </c>
      <c r="B16" s="4" t="s">
        <v>580</v>
      </c>
      <c r="C16" s="2" t="str">
        <f>_xlfn.XLOOKUP(A:A,[1]Matriz!$E:$E,[1]Matriz!$BU:$BU)</f>
        <v>FASE 3 OPERACIÓN CAEX 980E &amp; 930E  / CARTA RENOVACIÓN</v>
      </c>
      <c r="D16" s="3">
        <f>_xlfn.XLOOKUP(A:A,[1]Matriz!$E:$E,[1]Matriz!$BW:$BW)</f>
        <v>46581</v>
      </c>
      <c r="E16" s="2" t="str">
        <f ca="1">_xlfn.XLOOKUP(A:A,[1]Matriz!$E:$E,[1]Matriz!$BY:$BY)</f>
        <v>VIGENTE</v>
      </c>
    </row>
    <row r="17" spans="1:5" hidden="1" x14ac:dyDescent="0.35">
      <c r="A17" s="4" t="s">
        <v>579</v>
      </c>
      <c r="B17" s="4" t="s">
        <v>578</v>
      </c>
      <c r="C17" s="2">
        <f>_xlfn.XLOOKUP(A:A,[1]Matriz!$E:$E,[1]Matriz!$BU:$BU)</f>
        <v>0</v>
      </c>
      <c r="D17" s="3">
        <f>_xlfn.XLOOKUP(A:A,[1]Matriz!$E:$E,[1]Matriz!$BW:$BW)</f>
        <v>0</v>
      </c>
      <c r="E17" s="2" t="str">
        <f ca="1">_xlfn.XLOOKUP(A:A,[1]Matriz!$E:$E,[1]Matriz!$BY:$BY)</f>
        <v>SIN CURSO</v>
      </c>
    </row>
    <row r="18" spans="1:5" hidden="1" x14ac:dyDescent="0.35">
      <c r="A18" s="4" t="s">
        <v>577</v>
      </c>
      <c r="B18" s="4" t="s">
        <v>576</v>
      </c>
      <c r="C18" s="2">
        <f>_xlfn.XLOOKUP(A:A,[1]Matriz!$E:$E,[1]Matriz!$BU:$BU)</f>
        <v>0</v>
      </c>
      <c r="D18" s="3">
        <f>_xlfn.XLOOKUP(A:A,[1]Matriz!$E:$E,[1]Matriz!$BW:$BW)</f>
        <v>0</v>
      </c>
      <c r="E18" s="2" t="str">
        <f ca="1">_xlfn.XLOOKUP(A:A,[1]Matriz!$E:$E,[1]Matriz!$BY:$BY)</f>
        <v>SIN CURSO</v>
      </c>
    </row>
    <row r="19" spans="1:5" hidden="1" x14ac:dyDescent="0.35">
      <c r="A19" s="11" t="s">
        <v>575</v>
      </c>
      <c r="B19" s="4" t="s">
        <v>574</v>
      </c>
      <c r="C19" s="2">
        <f>_xlfn.XLOOKUP(A:A,[1]Matriz!$E:$E,[1]Matriz!$BU:$BU)</f>
        <v>0</v>
      </c>
      <c r="D19" s="3">
        <f>_xlfn.XLOOKUP(A:A,[1]Matriz!$E:$E,[1]Matriz!$BW:$BW)</f>
        <v>0</v>
      </c>
      <c r="E19" s="2" t="str">
        <f ca="1">_xlfn.XLOOKUP(A:A,[1]Matriz!$E:$E,[1]Matriz!$BY:$BY)</f>
        <v>SIN CURSO</v>
      </c>
    </row>
    <row r="20" spans="1:5" hidden="1" x14ac:dyDescent="0.35">
      <c r="A20" s="4" t="s">
        <v>573</v>
      </c>
      <c r="B20" s="4" t="s">
        <v>572</v>
      </c>
      <c r="C20" s="2" t="str">
        <f>_xlfn.XLOOKUP(A:A,[1]Matriz!$E:$E,[1]Matriz!$BU:$BU)</f>
        <v>CAL237477</v>
      </c>
      <c r="D20" s="3">
        <f>_xlfn.XLOOKUP(A:A,[1]Matriz!$E:$E,[1]Matriz!$BW:$BW)</f>
        <v>46863</v>
      </c>
      <c r="E20" s="2" t="str">
        <f ca="1">_xlfn.XLOOKUP(A:A,[1]Matriz!$E:$E,[1]Matriz!$BY:$BY)</f>
        <v>VIGENTE</v>
      </c>
    </row>
    <row r="21" spans="1:5" hidden="1" x14ac:dyDescent="0.35">
      <c r="A21" s="11" t="s">
        <v>571</v>
      </c>
      <c r="B21" s="4" t="s">
        <v>570</v>
      </c>
      <c r="C21" s="2">
        <f>_xlfn.XLOOKUP(A:A,[1]Matriz!$E:$E,[1]Matriz!$BU:$BU)</f>
        <v>0</v>
      </c>
      <c r="D21" s="3">
        <f>_xlfn.XLOOKUP(A:A,[1]Matriz!$E:$E,[1]Matriz!$BW:$BW)</f>
        <v>0</v>
      </c>
      <c r="E21" s="2" t="str">
        <f ca="1">_xlfn.XLOOKUP(A:A,[1]Matriz!$E:$E,[1]Matriz!$BY:$BY)</f>
        <v>SIN CURSO</v>
      </c>
    </row>
    <row r="22" spans="1:5" hidden="1" x14ac:dyDescent="0.35">
      <c r="A22" s="4" t="s">
        <v>569</v>
      </c>
      <c r="B22" s="4" t="s">
        <v>568</v>
      </c>
      <c r="C22" s="2">
        <f>_xlfn.XLOOKUP(A:A,[1]Matriz!$E:$E,[1]Matriz!$BU:$BU)</f>
        <v>0</v>
      </c>
      <c r="D22" s="3">
        <f>_xlfn.XLOOKUP(A:A,[1]Matriz!$E:$E,[1]Matriz!$BW:$BW)</f>
        <v>0</v>
      </c>
      <c r="E22" s="2" t="str">
        <f ca="1">_xlfn.XLOOKUP(A:A,[1]Matriz!$E:$E,[1]Matriz!$BY:$BY)</f>
        <v>SIN CURSO</v>
      </c>
    </row>
    <row r="23" spans="1:5" hidden="1" x14ac:dyDescent="0.35">
      <c r="A23" s="4" t="s">
        <v>567</v>
      </c>
      <c r="B23" s="4" t="s">
        <v>566</v>
      </c>
      <c r="C23" s="2">
        <f>_xlfn.XLOOKUP(A:A,[1]Matriz!$E:$E,[1]Matriz!$BU:$BU)</f>
        <v>0</v>
      </c>
      <c r="D23" s="3">
        <f>_xlfn.XLOOKUP(A:A,[1]Matriz!$E:$E,[1]Matriz!$BW:$BW)</f>
        <v>0</v>
      </c>
      <c r="E23" s="2" t="str">
        <f ca="1">_xlfn.XLOOKUP(A:A,[1]Matriz!$E:$E,[1]Matriz!$BY:$BY)</f>
        <v>SIN CURSO</v>
      </c>
    </row>
    <row r="24" spans="1:5" hidden="1" x14ac:dyDescent="0.35">
      <c r="A24" s="4" t="s">
        <v>565</v>
      </c>
      <c r="B24" s="4" t="s">
        <v>564</v>
      </c>
      <c r="C24" s="2">
        <f>_xlfn.XLOOKUP(A:A,[1]Matriz!$E:$E,[1]Matriz!$BU:$BU)</f>
        <v>0</v>
      </c>
      <c r="D24" s="3">
        <f>_xlfn.XLOOKUP(A:A,[1]Matriz!$E:$E,[1]Matriz!$BW:$BW)</f>
        <v>0</v>
      </c>
      <c r="E24" s="2" t="str">
        <f ca="1">_xlfn.XLOOKUP(A:A,[1]Matriz!$E:$E,[1]Matriz!$BY:$BY)</f>
        <v>SIN CURSO</v>
      </c>
    </row>
    <row r="25" spans="1:5" hidden="1" x14ac:dyDescent="0.35">
      <c r="A25" s="4" t="s">
        <v>563</v>
      </c>
      <c r="B25" s="4" t="s">
        <v>562</v>
      </c>
      <c r="C25" s="2">
        <f>_xlfn.XLOOKUP(A:A,[1]Matriz!$E:$E,[1]Matriz!$BU:$BU)</f>
        <v>0</v>
      </c>
      <c r="D25" s="3">
        <f>_xlfn.XLOOKUP(A:A,[1]Matriz!$E:$E,[1]Matriz!$BW:$BW)</f>
        <v>0</v>
      </c>
      <c r="E25" s="2" t="str">
        <f ca="1">_xlfn.XLOOKUP(A:A,[1]Matriz!$E:$E,[1]Matriz!$BY:$BY)</f>
        <v>SIN CURSO</v>
      </c>
    </row>
    <row r="26" spans="1:5" hidden="1" x14ac:dyDescent="0.35">
      <c r="A26" s="4" t="s">
        <v>561</v>
      </c>
      <c r="B26" s="4" t="s">
        <v>560</v>
      </c>
      <c r="C26" s="2">
        <f>_xlfn.XLOOKUP(A:A,[1]Matriz!$E:$E,[1]Matriz!$BU:$BU)</f>
        <v>0</v>
      </c>
      <c r="D26" s="3">
        <f>_xlfn.XLOOKUP(A:A,[1]Matriz!$E:$E,[1]Matriz!$BW:$BW)</f>
        <v>0</v>
      </c>
      <c r="E26" s="2" t="str">
        <f ca="1">_xlfn.XLOOKUP(A:A,[1]Matriz!$E:$E,[1]Matriz!$BY:$BY)</f>
        <v>SIN CURSO</v>
      </c>
    </row>
    <row r="27" spans="1:5" hidden="1" x14ac:dyDescent="0.35">
      <c r="A27" s="11" t="s">
        <v>559</v>
      </c>
      <c r="B27" s="4" t="s">
        <v>558</v>
      </c>
      <c r="C27" s="2">
        <f>_xlfn.XLOOKUP(A:A,[1]Matriz!$E:$E,[1]Matriz!$BU:$BU)</f>
        <v>0</v>
      </c>
      <c r="D27" s="3">
        <f>_xlfn.XLOOKUP(A:A,[1]Matriz!$E:$E,[1]Matriz!$BW:$BW)</f>
        <v>0</v>
      </c>
      <c r="E27" s="2" t="str">
        <f ca="1">_xlfn.XLOOKUP(A:A,[1]Matriz!$E:$E,[1]Matriz!$BY:$BY)</f>
        <v>SIN CURSO</v>
      </c>
    </row>
    <row r="28" spans="1:5" hidden="1" x14ac:dyDescent="0.35">
      <c r="A28" s="4" t="s">
        <v>557</v>
      </c>
      <c r="B28" s="4" t="s">
        <v>556</v>
      </c>
      <c r="C28" s="2">
        <f>_xlfn.XLOOKUP(A:A,[1]Matriz!$E:$E,[1]Matriz!$BU:$BU)</f>
        <v>0</v>
      </c>
      <c r="D28" s="3">
        <f>_xlfn.XLOOKUP(A:A,[1]Matriz!$E:$E,[1]Matriz!$BW:$BW)</f>
        <v>0</v>
      </c>
      <c r="E28" s="2" t="str">
        <f ca="1">_xlfn.XLOOKUP(A:A,[1]Matriz!$E:$E,[1]Matriz!$BY:$BY)</f>
        <v>SIN CURSO</v>
      </c>
    </row>
    <row r="29" spans="1:5" hidden="1" x14ac:dyDescent="0.35">
      <c r="A29" s="4" t="s">
        <v>555</v>
      </c>
      <c r="B29" s="4" t="s">
        <v>554</v>
      </c>
      <c r="C29" s="2">
        <f>_xlfn.XLOOKUP(A:A,[1]Matriz!$E:$E,[1]Matriz!$BU:$BU)</f>
        <v>0</v>
      </c>
      <c r="D29" s="3">
        <f>_xlfn.XLOOKUP(A:A,[1]Matriz!$E:$E,[1]Matriz!$BW:$BW)</f>
        <v>0</v>
      </c>
      <c r="E29" s="2" t="str">
        <f ca="1">_xlfn.XLOOKUP(A:A,[1]Matriz!$E:$E,[1]Matriz!$BY:$BY)</f>
        <v>SIN CURSO</v>
      </c>
    </row>
    <row r="30" spans="1:5" hidden="1" x14ac:dyDescent="0.35">
      <c r="A30" s="4" t="s">
        <v>553</v>
      </c>
      <c r="B30" s="4" t="s">
        <v>552</v>
      </c>
      <c r="C30" s="2" t="str">
        <f>_xlfn.XLOOKUP(A:A,[1]Matriz!$E:$E,[1]Matriz!$BU:$BU)</f>
        <v>FASE 4 ACREDITADO CAEX 980E &amp; 930E</v>
      </c>
      <c r="D30" s="3">
        <f>_xlfn.XLOOKUP(A:A,[1]Matriz!$E:$E,[1]Matriz!$BW:$BW)</f>
        <v>46403</v>
      </c>
      <c r="E30" s="2" t="str">
        <f ca="1">_xlfn.XLOOKUP(A:A,[1]Matriz!$E:$E,[1]Matriz!$BY:$BY)</f>
        <v>VIGENTE</v>
      </c>
    </row>
    <row r="31" spans="1:5" hidden="1" x14ac:dyDescent="0.35">
      <c r="A31" s="4" t="s">
        <v>551</v>
      </c>
      <c r="B31" s="4" t="s">
        <v>550</v>
      </c>
      <c r="C31" s="2">
        <f>_xlfn.XLOOKUP(A:A,[1]Matriz!$E:$E,[1]Matriz!$BU:$BU)</f>
        <v>0</v>
      </c>
      <c r="D31" s="3">
        <f>_xlfn.XLOOKUP(A:A,[1]Matriz!$E:$E,[1]Matriz!$BW:$BW)</f>
        <v>0</v>
      </c>
      <c r="E31" s="2" t="str">
        <f ca="1">_xlfn.XLOOKUP(A:A,[1]Matriz!$E:$E,[1]Matriz!$BY:$BY)</f>
        <v>SIN CURSO</v>
      </c>
    </row>
    <row r="32" spans="1:5" hidden="1" x14ac:dyDescent="0.35">
      <c r="A32" s="4" t="s">
        <v>549</v>
      </c>
      <c r="B32" s="4" t="s">
        <v>548</v>
      </c>
      <c r="C32" s="2">
        <f>_xlfn.XLOOKUP(A:A,[1]Matriz!$E:$E,[1]Matriz!$BU:$BU)</f>
        <v>0</v>
      </c>
      <c r="D32" s="3">
        <f>_xlfn.XLOOKUP(A:A,[1]Matriz!$E:$E,[1]Matriz!$BW:$BW)</f>
        <v>0</v>
      </c>
      <c r="E32" s="2" t="str">
        <f ca="1">_xlfn.XLOOKUP(A:A,[1]Matriz!$E:$E,[1]Matriz!$BY:$BY)</f>
        <v>SIN CURSO</v>
      </c>
    </row>
    <row r="33" spans="1:5" hidden="1" x14ac:dyDescent="0.35">
      <c r="A33" s="4" t="s">
        <v>547</v>
      </c>
      <c r="B33" s="4" t="s">
        <v>546</v>
      </c>
      <c r="C33" s="2" t="str">
        <f>_xlfn.XLOOKUP(A:A,[1]Matriz!$E:$E,[1]Matriz!$BU:$BU)</f>
        <v>POR PROGRAMAR 02  DE DICIEMBRE INSECAP / NECESITA LOGISTICA</v>
      </c>
      <c r="D33" s="3">
        <f>_xlfn.XLOOKUP(A:A,[1]Matriz!$E:$E,[1]Matriz!$BW:$BW)</f>
        <v>0</v>
      </c>
      <c r="E33" s="2" t="str">
        <f>_xlfn.XLOOKUP(A:A,[1]Matriz!$E:$E,[1]Matriz!$BY:$BY)</f>
        <v>TOMADO</v>
      </c>
    </row>
    <row r="34" spans="1:5" hidden="1" x14ac:dyDescent="0.35">
      <c r="A34" s="11" t="s">
        <v>545</v>
      </c>
      <c r="B34" s="4" t="s">
        <v>544</v>
      </c>
      <c r="C34" s="2">
        <f>_xlfn.XLOOKUP(A:A,[1]Matriz!$E:$E,[1]Matriz!$BU:$BU)</f>
        <v>0</v>
      </c>
      <c r="D34" s="3">
        <f>_xlfn.XLOOKUP(A:A,[1]Matriz!$E:$E,[1]Matriz!$BW:$BW)</f>
        <v>0</v>
      </c>
      <c r="E34" s="2" t="str">
        <f>_xlfn.XLOOKUP(A:A,[1]Matriz!$E:$E,[1]Matriz!$BY:$BY)</f>
        <v>SIN CURSO</v>
      </c>
    </row>
    <row r="35" spans="1:5" hidden="1" x14ac:dyDescent="0.35">
      <c r="A35" s="4" t="s">
        <v>543</v>
      </c>
      <c r="B35" s="4" t="s">
        <v>542</v>
      </c>
      <c r="C35" s="2">
        <f>_xlfn.XLOOKUP(A:A,[1]Matriz!$E:$E,[1]Matriz!$BU:$BU)</f>
        <v>0</v>
      </c>
      <c r="D35" s="3">
        <f>_xlfn.XLOOKUP(A:A,[1]Matriz!$E:$E,[1]Matriz!$BW:$BW)</f>
        <v>0</v>
      </c>
      <c r="E35" s="2" t="str">
        <f ca="1">_xlfn.XLOOKUP(A:A,[1]Matriz!$E:$E,[1]Matriz!$BY:$BY)</f>
        <v>SIN CURSO</v>
      </c>
    </row>
    <row r="36" spans="1:5" hidden="1" x14ac:dyDescent="0.35">
      <c r="A36" s="11" t="s">
        <v>541</v>
      </c>
      <c r="B36" s="4" t="s">
        <v>540</v>
      </c>
      <c r="C36" s="2">
        <f>_xlfn.XLOOKUP(A:A,[1]Matriz!$E:$E,[1]Matriz!$BU:$BU)</f>
        <v>0</v>
      </c>
      <c r="D36" s="3">
        <f>_xlfn.XLOOKUP(A:A,[1]Matriz!$E:$E,[1]Matriz!$BW:$BW)</f>
        <v>0</v>
      </c>
      <c r="E36" s="2" t="str">
        <f ca="1">_xlfn.XLOOKUP(A:A,[1]Matriz!$E:$E,[1]Matriz!$BY:$BY)</f>
        <v>SIN CURSO</v>
      </c>
    </row>
    <row r="37" spans="1:5" hidden="1" x14ac:dyDescent="0.35">
      <c r="A37" s="4" t="s">
        <v>539</v>
      </c>
      <c r="B37" s="4" t="s">
        <v>538</v>
      </c>
      <c r="C37" s="2">
        <f>_xlfn.XLOOKUP(A:A,[1]Matriz!$E:$E,[1]Matriz!$BU:$BU)</f>
        <v>0</v>
      </c>
      <c r="D37" s="3">
        <f>_xlfn.XLOOKUP(A:A,[1]Matriz!$E:$E,[1]Matriz!$BW:$BW)</f>
        <v>0</v>
      </c>
      <c r="E37" s="2" t="str">
        <f ca="1">_xlfn.XLOOKUP(A:A,[1]Matriz!$E:$E,[1]Matriz!$BY:$BY)</f>
        <v>SIN CURSO</v>
      </c>
    </row>
    <row r="38" spans="1:5" hidden="1" x14ac:dyDescent="0.35">
      <c r="A38" s="4" t="s">
        <v>537</v>
      </c>
      <c r="B38" s="4" t="s">
        <v>536</v>
      </c>
      <c r="C38" s="2">
        <f>_xlfn.XLOOKUP(A:A,[1]Matriz!$E:$E,[1]Matriz!$BU:$BU)</f>
        <v>0</v>
      </c>
      <c r="D38" s="3">
        <f>_xlfn.XLOOKUP(A:A,[1]Matriz!$E:$E,[1]Matriz!$BW:$BW)</f>
        <v>0</v>
      </c>
      <c r="E38" s="2" t="str">
        <f ca="1">_xlfn.XLOOKUP(A:A,[1]Matriz!$E:$E,[1]Matriz!$BY:$BY)</f>
        <v>SIN CURSO</v>
      </c>
    </row>
    <row r="39" spans="1:5" hidden="1" x14ac:dyDescent="0.35">
      <c r="A39" s="4" t="s">
        <v>535</v>
      </c>
      <c r="B39" s="4" t="s">
        <v>534</v>
      </c>
      <c r="C39" s="2">
        <f>_xlfn.XLOOKUP(A:A,[1]Matriz!$E:$E,[1]Matriz!$BU:$BU)</f>
        <v>0</v>
      </c>
      <c r="D39" s="3">
        <f>_xlfn.XLOOKUP(A:A,[1]Matriz!$E:$E,[1]Matriz!$BW:$BW)</f>
        <v>0</v>
      </c>
      <c r="E39" s="2" t="str">
        <f ca="1">_xlfn.XLOOKUP(A:A,[1]Matriz!$E:$E,[1]Matriz!$BY:$BY)</f>
        <v>SIN CURSO</v>
      </c>
    </row>
    <row r="40" spans="1:5" hidden="1" x14ac:dyDescent="0.35">
      <c r="A40" s="4" t="s">
        <v>533</v>
      </c>
      <c r="B40" s="4" t="s">
        <v>532</v>
      </c>
      <c r="C40" s="2" t="str">
        <f>_xlfn.XLOOKUP(A:A,[1]Matriz!$E:$E,[1]Matriz!$BU:$BU)</f>
        <v>FASE 4 ACREDITADO CAEX 980E &amp; 930E</v>
      </c>
      <c r="D40" s="3">
        <f>_xlfn.XLOOKUP(A:A,[1]Matriz!$E:$E,[1]Matriz!$BW:$BW)</f>
        <v>46403</v>
      </c>
      <c r="E40" s="2" t="str">
        <f ca="1">_xlfn.XLOOKUP(A:A,[1]Matriz!$E:$E,[1]Matriz!$BY:$BY)</f>
        <v>VIGENTE</v>
      </c>
    </row>
    <row r="41" spans="1:5" hidden="1" x14ac:dyDescent="0.35">
      <c r="A41" s="4" t="s">
        <v>531</v>
      </c>
      <c r="B41" s="4" t="s">
        <v>530</v>
      </c>
      <c r="C41" s="2">
        <f>_xlfn.XLOOKUP(A:A,[1]Matriz!$E:$E,[1]Matriz!$BU:$BU)</f>
        <v>0</v>
      </c>
      <c r="D41" s="3">
        <f>_xlfn.XLOOKUP(A:A,[1]Matriz!$E:$E,[1]Matriz!$BW:$BW)</f>
        <v>0</v>
      </c>
      <c r="E41" s="2" t="str">
        <f ca="1">_xlfn.XLOOKUP(A:A,[1]Matriz!$E:$E,[1]Matriz!$BY:$BY)</f>
        <v>SIN CURSO</v>
      </c>
    </row>
    <row r="42" spans="1:5" hidden="1" x14ac:dyDescent="0.35">
      <c r="A42" s="4" t="s">
        <v>529</v>
      </c>
      <c r="B42" s="4" t="s">
        <v>528</v>
      </c>
      <c r="C42" s="2">
        <f>_xlfn.XLOOKUP(A:A,[1]Matriz!$E:$E,[1]Matriz!$BU:$BU)</f>
        <v>0</v>
      </c>
      <c r="D42" s="3">
        <f>_xlfn.XLOOKUP(A:A,[1]Matriz!$E:$E,[1]Matriz!$BW:$BW)</f>
        <v>0</v>
      </c>
      <c r="E42" s="2" t="str">
        <f ca="1">_xlfn.XLOOKUP(A:A,[1]Matriz!$E:$E,[1]Matriz!$BY:$BY)</f>
        <v>SIN CURSO</v>
      </c>
    </row>
    <row r="43" spans="1:5" hidden="1" x14ac:dyDescent="0.35">
      <c r="A43" s="4" t="s">
        <v>527</v>
      </c>
      <c r="B43" s="4" t="s">
        <v>526</v>
      </c>
      <c r="C43" s="2" t="str">
        <f>_xlfn.XLOOKUP(A:A,[1]Matriz!$E:$E,[1]Matriz!$BU:$BU)</f>
        <v>CAL237477</v>
      </c>
      <c r="D43" s="3">
        <f>_xlfn.XLOOKUP(A:A,[1]Matriz!$E:$E,[1]Matriz!$BW:$BW)</f>
        <v>46863</v>
      </c>
      <c r="E43" s="2" t="str">
        <f ca="1">_xlfn.XLOOKUP(A:A,[1]Matriz!$E:$E,[1]Matriz!$BY:$BY)</f>
        <v>VIGENTE</v>
      </c>
    </row>
    <row r="44" spans="1:5" hidden="1" x14ac:dyDescent="0.35">
      <c r="A44" s="4" t="s">
        <v>525</v>
      </c>
      <c r="B44" s="4" t="s">
        <v>524</v>
      </c>
      <c r="C44" s="2" t="str">
        <f>_xlfn.XLOOKUP(A:A,[1]Matriz!$E:$E,[1]Matriz!$BU:$BU)</f>
        <v>CAL237477</v>
      </c>
      <c r="D44" s="3">
        <f>_xlfn.XLOOKUP(A:A,[1]Matriz!$E:$E,[1]Matriz!$BW:$BW)</f>
        <v>46863</v>
      </c>
      <c r="E44" s="2" t="str">
        <f ca="1">_xlfn.XLOOKUP(A:A,[1]Matriz!$E:$E,[1]Matriz!$BY:$BY)</f>
        <v>VIGENTE</v>
      </c>
    </row>
    <row r="45" spans="1:5" hidden="1" x14ac:dyDescent="0.35">
      <c r="A45" s="4" t="s">
        <v>523</v>
      </c>
      <c r="B45" s="4" t="s">
        <v>522</v>
      </c>
      <c r="C45" s="2">
        <f>_xlfn.XLOOKUP(A:A,[1]Matriz!$E:$E,[1]Matriz!$BU:$BU)</f>
        <v>0</v>
      </c>
      <c r="D45" s="3">
        <f>_xlfn.XLOOKUP(A:A,[1]Matriz!$E:$E,[1]Matriz!$BW:$BW)</f>
        <v>0</v>
      </c>
      <c r="E45" s="2" t="str">
        <f ca="1">_xlfn.XLOOKUP(A:A,[1]Matriz!$E:$E,[1]Matriz!$BY:$BY)</f>
        <v>SIN CURSO</v>
      </c>
    </row>
    <row r="46" spans="1:5" hidden="1" x14ac:dyDescent="0.35">
      <c r="A46" s="4" t="s">
        <v>521</v>
      </c>
      <c r="B46" s="4" t="s">
        <v>520</v>
      </c>
      <c r="C46" s="2">
        <f>_xlfn.XLOOKUP(A:A,[1]Matriz!$E:$E,[1]Matriz!$BU:$BU)</f>
        <v>0</v>
      </c>
      <c r="D46" s="3">
        <f>_xlfn.XLOOKUP(A:A,[1]Matriz!$E:$E,[1]Matriz!$BW:$BW)</f>
        <v>0</v>
      </c>
      <c r="E46" s="2" t="str">
        <f ca="1">_xlfn.XLOOKUP(A:A,[1]Matriz!$E:$E,[1]Matriz!$BY:$BY)</f>
        <v>SIN CURSO</v>
      </c>
    </row>
    <row r="47" spans="1:5" hidden="1" x14ac:dyDescent="0.35">
      <c r="A47" s="4" t="s">
        <v>519</v>
      </c>
      <c r="B47" s="4" t="s">
        <v>518</v>
      </c>
      <c r="C47" s="2">
        <f>_xlfn.XLOOKUP(A:A,[1]Matriz!$E:$E,[1]Matriz!$BU:$BU)</f>
        <v>0</v>
      </c>
      <c r="D47" s="3">
        <f>_xlfn.XLOOKUP(A:A,[1]Matriz!$E:$E,[1]Matriz!$BW:$BW)</f>
        <v>0</v>
      </c>
      <c r="E47" s="2" t="str">
        <f ca="1">_xlfn.XLOOKUP(A:A,[1]Matriz!$E:$E,[1]Matriz!$BY:$BY)</f>
        <v>SIN CURSO</v>
      </c>
    </row>
    <row r="48" spans="1:5" hidden="1" x14ac:dyDescent="0.35">
      <c r="A48" s="4" t="s">
        <v>517</v>
      </c>
      <c r="B48" s="4" t="s">
        <v>516</v>
      </c>
      <c r="C48" s="2">
        <f>_xlfn.XLOOKUP(A:A,[1]Matriz!$E:$E,[1]Matriz!$BU:$BU)</f>
        <v>0</v>
      </c>
      <c r="D48" s="3">
        <f>_xlfn.XLOOKUP(A:A,[1]Matriz!$E:$E,[1]Matriz!$BW:$BW)</f>
        <v>0</v>
      </c>
      <c r="E48" s="2" t="str">
        <f ca="1">_xlfn.XLOOKUP(A:A,[1]Matriz!$E:$E,[1]Matriz!$BY:$BY)</f>
        <v>SIN CURSO</v>
      </c>
    </row>
    <row r="49" spans="1:5" hidden="1" x14ac:dyDescent="0.35">
      <c r="A49" s="11" t="s">
        <v>515</v>
      </c>
      <c r="B49" s="4" t="s">
        <v>514</v>
      </c>
      <c r="C49" s="2">
        <f>_xlfn.XLOOKUP(A:A,[1]Matriz!$E:$E,[1]Matriz!$BU:$BU)</f>
        <v>0</v>
      </c>
      <c r="D49" s="3">
        <f>_xlfn.XLOOKUP(A:A,[1]Matriz!$E:$E,[1]Matriz!$BW:$BW)</f>
        <v>0</v>
      </c>
      <c r="E49" s="2" t="str">
        <f ca="1">_xlfn.XLOOKUP(A:A,[1]Matriz!$E:$E,[1]Matriz!$BY:$BY)</f>
        <v>SIN CURSO</v>
      </c>
    </row>
    <row r="50" spans="1:5" hidden="1" x14ac:dyDescent="0.35">
      <c r="A50" s="4" t="s">
        <v>513</v>
      </c>
      <c r="B50" s="4" t="s">
        <v>512</v>
      </c>
      <c r="C50" s="2" t="str">
        <f>_xlfn.XLOOKUP(A:A,[1]Matriz!$E:$E,[1]Matriz!$BU:$BU)</f>
        <v>FASE 1 MANIPULADOR CAEX 980E Y 930E</v>
      </c>
      <c r="D50" s="3">
        <f>_xlfn.XLOOKUP(A:A,[1]Matriz!$E:$E,[1]Matriz!$BW:$BW)</f>
        <v>46088</v>
      </c>
      <c r="E50" s="2" t="str">
        <f ca="1">_xlfn.XLOOKUP(A:A,[1]Matriz!$E:$E,[1]Matriz!$BY:$BY)</f>
        <v>VENCIDO</v>
      </c>
    </row>
    <row r="51" spans="1:5" hidden="1" x14ac:dyDescent="0.35">
      <c r="A51" s="4" t="s">
        <v>511</v>
      </c>
      <c r="B51" s="4" t="s">
        <v>510</v>
      </c>
      <c r="C51" s="2" t="str">
        <f>_xlfn.XLOOKUP(A:A,[1]Matriz!$E:$E,[1]Matriz!$BU:$BU)</f>
        <v>FASE 1 MANIPULADOR CAEX 980E Y 930E/SIN LICENCIA</v>
      </c>
      <c r="D51" s="3">
        <f>_xlfn.XLOOKUP(A:A,[1]Matriz!$E:$E,[1]Matriz!$BW:$BW)</f>
        <v>46088</v>
      </c>
      <c r="E51" s="2" t="str">
        <f>_xlfn.XLOOKUP(A:A,[1]Matriz!$E:$E,[1]Matriz!$BY:$BY)</f>
        <v>SIN CURSO</v>
      </c>
    </row>
    <row r="52" spans="1:5" hidden="1" x14ac:dyDescent="0.35">
      <c r="A52" s="4" t="s">
        <v>509</v>
      </c>
      <c r="B52" s="4" t="s">
        <v>508</v>
      </c>
      <c r="C52" s="2">
        <f>_xlfn.XLOOKUP(A:A,[1]Matriz!$E:$E,[1]Matriz!$BU:$BU)</f>
        <v>0</v>
      </c>
      <c r="D52" s="3">
        <f>_xlfn.XLOOKUP(A:A,[1]Matriz!$E:$E,[1]Matriz!$BW:$BW)</f>
        <v>0</v>
      </c>
      <c r="E52" s="2" t="str">
        <f ca="1">_xlfn.XLOOKUP(A:A,[1]Matriz!$E:$E,[1]Matriz!$BY:$BY)</f>
        <v>SIN CURSO</v>
      </c>
    </row>
    <row r="53" spans="1:5" hidden="1" x14ac:dyDescent="0.35">
      <c r="A53" s="4" t="s">
        <v>507</v>
      </c>
      <c r="B53" s="4" t="s">
        <v>506</v>
      </c>
      <c r="C53" s="2">
        <f>_xlfn.XLOOKUP(A:A,[1]Matriz!$E:$E,[1]Matriz!$BU:$BU)</f>
        <v>0</v>
      </c>
      <c r="D53" s="3">
        <f>_xlfn.XLOOKUP(A:A,[1]Matriz!$E:$E,[1]Matriz!$BW:$BW)</f>
        <v>0</v>
      </c>
      <c r="E53" s="2" t="str">
        <f ca="1">_xlfn.XLOOKUP(A:A,[1]Matriz!$E:$E,[1]Matriz!$BY:$BY)</f>
        <v>SIN CURSO</v>
      </c>
    </row>
    <row r="54" spans="1:5" hidden="1" x14ac:dyDescent="0.35">
      <c r="A54" s="4" t="s">
        <v>505</v>
      </c>
      <c r="B54" s="4" t="s">
        <v>504</v>
      </c>
      <c r="C54" s="2" t="str">
        <f>_xlfn.XLOOKUP(A:A,[1]Matriz!$E:$E,[1]Matriz!$BU:$BU)</f>
        <v>CAL237477</v>
      </c>
      <c r="D54" s="3">
        <f>_xlfn.XLOOKUP(A:A,[1]Matriz!$E:$E,[1]Matriz!$BW:$BW)</f>
        <v>46863</v>
      </c>
      <c r="E54" s="2" t="str">
        <f ca="1">_xlfn.XLOOKUP(A:A,[1]Matriz!$E:$E,[1]Matriz!$BY:$BY)</f>
        <v>VIGENTE</v>
      </c>
    </row>
    <row r="55" spans="1:5" hidden="1" x14ac:dyDescent="0.35">
      <c r="A55" s="4" t="s">
        <v>503</v>
      </c>
      <c r="B55" s="4" t="s">
        <v>502</v>
      </c>
      <c r="C55" s="2">
        <f>_xlfn.XLOOKUP(A:A,[1]Matriz!$E:$E,[1]Matriz!$BU:$BU)</f>
        <v>0</v>
      </c>
      <c r="D55" s="3">
        <f>_xlfn.XLOOKUP(A:A,[1]Matriz!$E:$E,[1]Matriz!$BW:$BW)</f>
        <v>0</v>
      </c>
      <c r="E55" s="2" t="str">
        <f ca="1">_xlfn.XLOOKUP(A:A,[1]Matriz!$E:$E,[1]Matriz!$BY:$BY)</f>
        <v>SIN CURSO</v>
      </c>
    </row>
    <row r="56" spans="1:5" hidden="1" x14ac:dyDescent="0.35">
      <c r="A56" s="4" t="s">
        <v>501</v>
      </c>
      <c r="B56" s="4" t="s">
        <v>500</v>
      </c>
      <c r="C56" s="2" t="str">
        <f>_xlfn.XLOOKUP(A:A,[1]Matriz!$E:$E,[1]Matriz!$BU:$BU)</f>
        <v>FASE 1 MANIPULADOR CAEX 980E Y 930E</v>
      </c>
      <c r="D56" s="3">
        <f>_xlfn.XLOOKUP(A:A,[1]Matriz!$E:$E,[1]Matriz!$BW:$BW)</f>
        <v>46088</v>
      </c>
      <c r="E56" s="2" t="str">
        <f ca="1">_xlfn.XLOOKUP(A:A,[1]Matriz!$E:$E,[1]Matriz!$BY:$BY)</f>
        <v>VENCIDO</v>
      </c>
    </row>
    <row r="57" spans="1:5" hidden="1" x14ac:dyDescent="0.35">
      <c r="A57" s="4" t="s">
        <v>499</v>
      </c>
      <c r="B57" s="4" t="s">
        <v>498</v>
      </c>
      <c r="C57" s="2">
        <f>_xlfn.XLOOKUP(A:A,[1]Matriz!$E:$E,[1]Matriz!$BU:$BU)</f>
        <v>0</v>
      </c>
      <c r="D57" s="3">
        <f>_xlfn.XLOOKUP(A:A,[1]Matriz!$E:$E,[1]Matriz!$BW:$BW)</f>
        <v>0</v>
      </c>
      <c r="E57" s="2" t="str">
        <f>_xlfn.XLOOKUP(A:A,[1]Matriz!$E:$E,[1]Matriz!$BY:$BY)</f>
        <v>GESTIONAR</v>
      </c>
    </row>
    <row r="58" spans="1:5" hidden="1" x14ac:dyDescent="0.35">
      <c r="A58" s="4" t="s">
        <v>497</v>
      </c>
      <c r="B58" s="4" t="s">
        <v>496</v>
      </c>
      <c r="C58" s="2" t="str">
        <f>_xlfn.XLOOKUP(A:A,[1]Matriz!$E:$E,[1]Matriz!$BU:$BU)</f>
        <v>FASE 1 MANIPULADOR CAEX 980E Y 930E</v>
      </c>
      <c r="D58" s="3">
        <f>_xlfn.XLOOKUP(A:A,[1]Matriz!$E:$E,[1]Matriz!$BW:$BW)</f>
        <v>46438</v>
      </c>
      <c r="E58" s="2" t="str">
        <f ca="1">_xlfn.XLOOKUP(A:A,[1]Matriz!$E:$E,[1]Matriz!$BY:$BY)</f>
        <v>VIGENTE</v>
      </c>
    </row>
    <row r="59" spans="1:5" hidden="1" x14ac:dyDescent="0.35">
      <c r="A59" s="4" t="s">
        <v>495</v>
      </c>
      <c r="B59" s="4" t="s">
        <v>494</v>
      </c>
      <c r="C59" s="2">
        <f>_xlfn.XLOOKUP(A:A,[1]Matriz!$E:$E,[1]Matriz!$BU:$BU)</f>
        <v>0</v>
      </c>
      <c r="D59" s="3">
        <f>_xlfn.XLOOKUP(A:A,[1]Matriz!$E:$E,[1]Matriz!$BW:$BW)</f>
        <v>0</v>
      </c>
      <c r="E59" s="2" t="str">
        <f ca="1">_xlfn.XLOOKUP(A:A,[1]Matriz!$E:$E,[1]Matriz!$BY:$BY)</f>
        <v>SIN CURSO</v>
      </c>
    </row>
    <row r="60" spans="1:5" hidden="1" x14ac:dyDescent="0.35">
      <c r="A60" s="4" t="s">
        <v>493</v>
      </c>
      <c r="B60" s="4" t="s">
        <v>492</v>
      </c>
      <c r="C60" s="2">
        <f>_xlfn.XLOOKUP(A:A,[1]Matriz!$E:$E,[1]Matriz!$BU:$BU)</f>
        <v>0</v>
      </c>
      <c r="D60" s="3">
        <f>_xlfn.XLOOKUP(A:A,[1]Matriz!$E:$E,[1]Matriz!$BW:$BW)</f>
        <v>0</v>
      </c>
      <c r="E60" s="2" t="str">
        <f ca="1">_xlfn.XLOOKUP(A:A,[1]Matriz!$E:$E,[1]Matriz!$BY:$BY)</f>
        <v>SIN CURSO</v>
      </c>
    </row>
    <row r="61" spans="1:5" hidden="1" x14ac:dyDescent="0.35">
      <c r="A61" s="4" t="s">
        <v>491</v>
      </c>
      <c r="B61" s="4" t="s">
        <v>490</v>
      </c>
      <c r="C61" s="2">
        <f>_xlfn.XLOOKUP(A:A,[1]Matriz!$E:$E,[1]Matriz!$BU:$BU)</f>
        <v>0</v>
      </c>
      <c r="D61" s="3">
        <f>_xlfn.XLOOKUP(A:A,[1]Matriz!$E:$E,[1]Matriz!$BW:$BW)</f>
        <v>0</v>
      </c>
      <c r="E61" s="2" t="str">
        <f ca="1">_xlfn.XLOOKUP(A:A,[1]Matriz!$E:$E,[1]Matriz!$BY:$BY)</f>
        <v>SIN CURSO</v>
      </c>
    </row>
    <row r="62" spans="1:5" hidden="1" x14ac:dyDescent="0.35">
      <c r="A62" s="4" t="s">
        <v>489</v>
      </c>
      <c r="B62" s="4" t="s">
        <v>488</v>
      </c>
      <c r="C62" s="2" t="e">
        <f ca="1">_xlfn.XLOOKUP(A:A,[1]Matriz!$E:$E,[1]Matriz!$BU:$BU)</f>
        <v>#REF!</v>
      </c>
      <c r="D62" s="3">
        <f>_xlfn.XLOOKUP(A:A,[1]Matriz!$E:$E,[1]Matriz!$BW:$BW)</f>
        <v>0</v>
      </c>
      <c r="E62" s="2" t="str">
        <f ca="1">_xlfn.XLOOKUP(A:A,[1]Matriz!$E:$E,[1]Matriz!$BY:$BY)</f>
        <v>SIN CURSO</v>
      </c>
    </row>
    <row r="63" spans="1:5" hidden="1" x14ac:dyDescent="0.35">
      <c r="A63" s="4" t="s">
        <v>487</v>
      </c>
      <c r="B63" s="4" t="s">
        <v>486</v>
      </c>
      <c r="C63" s="2">
        <f>_xlfn.XLOOKUP(A:A,[1]Matriz!$E:$E,[1]Matriz!$BU:$BU)</f>
        <v>0</v>
      </c>
      <c r="D63" s="3">
        <f>_xlfn.XLOOKUP(A:A,[1]Matriz!$E:$E,[1]Matriz!$BW:$BW)</f>
        <v>0</v>
      </c>
      <c r="E63" s="2" t="str">
        <f ca="1">_xlfn.XLOOKUP(A:A,[1]Matriz!$E:$E,[1]Matriz!$BY:$BY)</f>
        <v>SIN CURSO</v>
      </c>
    </row>
    <row r="64" spans="1:5" hidden="1" x14ac:dyDescent="0.35">
      <c r="A64" s="4" t="s">
        <v>485</v>
      </c>
      <c r="B64" s="4" t="s">
        <v>484</v>
      </c>
      <c r="C64" s="2" t="str">
        <f>_xlfn.XLOOKUP(A:A,[1]Matriz!$E:$E,[1]Matriz!$BU:$BU)</f>
        <v>FASE 1 MANIPULADOR CAEX 980E Y 930E/SIN LICENCIA</v>
      </c>
      <c r="D64" s="3">
        <f>_xlfn.XLOOKUP(A:A,[1]Matriz!$E:$E,[1]Matriz!$BW:$BW)</f>
        <v>46309</v>
      </c>
      <c r="E64" s="2" t="str">
        <f ca="1">_xlfn.XLOOKUP(A:A,[1]Matriz!$E:$E,[1]Matriz!$BY:$BY)</f>
        <v>VIGENTE</v>
      </c>
    </row>
    <row r="65" spans="1:5" hidden="1" x14ac:dyDescent="0.35">
      <c r="A65" s="4" t="s">
        <v>483</v>
      </c>
      <c r="B65" s="15" t="s">
        <v>482</v>
      </c>
      <c r="C65" s="2">
        <f>_xlfn.XLOOKUP(A:A,[1]Matriz!$E:$E,[1]Matriz!$BU:$BU)</f>
        <v>0</v>
      </c>
      <c r="D65" s="3">
        <f>_xlfn.XLOOKUP(A:A,[1]Matriz!$E:$E,[1]Matriz!$BW:$BW)</f>
        <v>0</v>
      </c>
      <c r="E65" s="2" t="str">
        <f ca="1">_xlfn.XLOOKUP(A:A,[1]Matriz!$E:$E,[1]Matriz!$BY:$BY)</f>
        <v>SIN CURSO</v>
      </c>
    </row>
    <row r="66" spans="1:5" hidden="1" x14ac:dyDescent="0.35">
      <c r="A66" s="4" t="s">
        <v>481</v>
      </c>
      <c r="B66" s="4" t="s">
        <v>480</v>
      </c>
      <c r="C66" s="2">
        <f>_xlfn.XLOOKUP(A:A,[1]Matriz!$E:$E,[1]Matriz!$BU:$BU)</f>
        <v>0</v>
      </c>
      <c r="D66" s="3">
        <f>_xlfn.XLOOKUP(A:A,[1]Matriz!$E:$E,[1]Matriz!$BW:$BW)</f>
        <v>0</v>
      </c>
      <c r="E66" s="2" t="str">
        <f>_xlfn.XLOOKUP(A:A,[1]Matriz!$E:$E,[1]Matriz!$BY:$BY)</f>
        <v>SIN CURSO</v>
      </c>
    </row>
    <row r="67" spans="1:5" hidden="1" x14ac:dyDescent="0.35">
      <c r="A67" s="4" t="s">
        <v>479</v>
      </c>
      <c r="B67" s="4" t="s">
        <v>478</v>
      </c>
      <c r="C67" s="2" t="str">
        <f>_xlfn.XLOOKUP(A:A,[1]Matriz!$E:$E,[1]Matriz!$BU:$BU)</f>
        <v>CAL237477</v>
      </c>
      <c r="D67" s="3">
        <f>_xlfn.XLOOKUP(A:A,[1]Matriz!$E:$E,[1]Matriz!$BW:$BW)</f>
        <v>46863</v>
      </c>
      <c r="E67" s="2" t="str">
        <f ca="1">_xlfn.XLOOKUP(A:A,[1]Matriz!$E:$E,[1]Matriz!$BY:$BY)</f>
        <v>VIGENTE</v>
      </c>
    </row>
    <row r="68" spans="1:5" hidden="1" x14ac:dyDescent="0.35">
      <c r="A68" s="4" t="s">
        <v>477</v>
      </c>
      <c r="B68" s="4" t="s">
        <v>476</v>
      </c>
      <c r="C68" s="2" t="str">
        <f>_xlfn.XLOOKUP(A:A,[1]Matriz!$E:$E,[1]Matriz!$BU:$BU)</f>
        <v>CAL234321</v>
      </c>
      <c r="D68" s="3">
        <f>_xlfn.XLOOKUP(A:A,[1]Matriz!$E:$E,[1]Matriz!$BW:$BW)</f>
        <v>46810</v>
      </c>
      <c r="E68" s="2" t="str">
        <f ca="1">_xlfn.XLOOKUP(A:A,[1]Matriz!$E:$E,[1]Matriz!$BY:$BY)</f>
        <v>VIGENTE</v>
      </c>
    </row>
    <row r="69" spans="1:5" hidden="1" x14ac:dyDescent="0.35">
      <c r="A69" s="4" t="s">
        <v>475</v>
      </c>
      <c r="B69" s="4" t="s">
        <v>474</v>
      </c>
      <c r="C69" s="2">
        <f>_xlfn.XLOOKUP(A:A,[1]Matriz!$E:$E,[1]Matriz!$BU:$BU)</f>
        <v>0</v>
      </c>
      <c r="D69" s="3">
        <f>_xlfn.XLOOKUP(A:A,[1]Matriz!$E:$E,[1]Matriz!$BW:$BW)</f>
        <v>0</v>
      </c>
      <c r="E69" s="2" t="str">
        <f ca="1">_xlfn.XLOOKUP(A:A,[1]Matriz!$E:$E,[1]Matriz!$BY:$BY)</f>
        <v>SIN CURSO</v>
      </c>
    </row>
    <row r="70" spans="1:5" hidden="1" x14ac:dyDescent="0.35">
      <c r="A70" s="4" t="s">
        <v>473</v>
      </c>
      <c r="B70" s="4" t="s">
        <v>472</v>
      </c>
      <c r="C70" s="2" t="str">
        <f>_xlfn.XLOOKUP(A:A,[1]Matriz!$E:$E,[1]Matriz!$BU:$BU)</f>
        <v>FASE 4 ACREDITADO CAEX 980E &amp; 930E</v>
      </c>
      <c r="D70" s="3">
        <f>_xlfn.XLOOKUP(A:A,[1]Matriz!$E:$E,[1]Matriz!$BW:$BW)</f>
        <v>46410</v>
      </c>
      <c r="E70" s="2" t="str">
        <f ca="1">_xlfn.XLOOKUP(A:A,[1]Matriz!$E:$E,[1]Matriz!$BY:$BY)</f>
        <v>VIGENTE</v>
      </c>
    </row>
    <row r="71" spans="1:5" hidden="1" x14ac:dyDescent="0.35">
      <c r="A71" s="4" t="s">
        <v>471</v>
      </c>
      <c r="B71" s="4" t="s">
        <v>470</v>
      </c>
      <c r="C71" s="2">
        <f>_xlfn.XLOOKUP(A:A,[1]Matriz!$E:$E,[1]Matriz!$BU:$BU)</f>
        <v>0</v>
      </c>
      <c r="D71" s="3">
        <f>_xlfn.XLOOKUP(A:A,[1]Matriz!$E:$E,[1]Matriz!$BW:$BW)</f>
        <v>0</v>
      </c>
      <c r="E71" s="2" t="str">
        <f ca="1">_xlfn.XLOOKUP(A:A,[1]Matriz!$E:$E,[1]Matriz!$BY:$BY)</f>
        <v>SIN CURSO</v>
      </c>
    </row>
    <row r="72" spans="1:5" hidden="1" x14ac:dyDescent="0.35">
      <c r="A72" s="4" t="s">
        <v>469</v>
      </c>
      <c r="B72" s="4" t="s">
        <v>468</v>
      </c>
      <c r="C72" s="2" t="str">
        <f>_xlfn.XLOOKUP(A:A,[1]Matriz!$E:$E,[1]Matriz!$BU:$BU)</f>
        <v>CAL237477</v>
      </c>
      <c r="D72" s="3">
        <f>_xlfn.XLOOKUP(A:A,[1]Matriz!$E:$E,[1]Matriz!$BW:$BW)</f>
        <v>46863</v>
      </c>
      <c r="E72" s="2" t="str">
        <f ca="1">_xlfn.XLOOKUP(A:A,[1]Matriz!$E:$E,[1]Matriz!$BY:$BY)</f>
        <v>VIGENTE</v>
      </c>
    </row>
    <row r="73" spans="1:5" hidden="1" x14ac:dyDescent="0.35">
      <c r="A73" s="11" t="s">
        <v>467</v>
      </c>
      <c r="B73" s="4" t="s">
        <v>466</v>
      </c>
      <c r="C73" s="2">
        <f>_xlfn.XLOOKUP(A:A,[1]Matriz!$E:$E,[1]Matriz!$BU:$BU)</f>
        <v>0</v>
      </c>
      <c r="D73" s="3">
        <f>_xlfn.XLOOKUP(A:A,[1]Matriz!$E:$E,[1]Matriz!$BW:$BW)</f>
        <v>0</v>
      </c>
      <c r="E73" s="2" t="str">
        <f ca="1">_xlfn.XLOOKUP(A:A,[1]Matriz!$E:$E,[1]Matriz!$BY:$BY)</f>
        <v>SIN CURSO</v>
      </c>
    </row>
    <row r="74" spans="1:5" hidden="1" x14ac:dyDescent="0.35">
      <c r="A74" s="4" t="s">
        <v>465</v>
      </c>
      <c r="B74" s="4" t="s">
        <v>464</v>
      </c>
      <c r="C74" s="2">
        <f>_xlfn.XLOOKUP(A:A,[1]Matriz!$E:$E,[1]Matriz!$BU:$BU)</f>
        <v>0</v>
      </c>
      <c r="D74" s="3">
        <f>_xlfn.XLOOKUP(A:A,[1]Matriz!$E:$E,[1]Matriz!$BW:$BW)</f>
        <v>0</v>
      </c>
      <c r="E74" s="2" t="str">
        <f ca="1">_xlfn.XLOOKUP(A:A,[1]Matriz!$E:$E,[1]Matriz!$BY:$BY)</f>
        <v>SIN CURSO</v>
      </c>
    </row>
    <row r="75" spans="1:5" hidden="1" x14ac:dyDescent="0.35">
      <c r="A75" s="4" t="s">
        <v>463</v>
      </c>
      <c r="B75" s="4" t="s">
        <v>462</v>
      </c>
      <c r="C75" s="2" t="str">
        <f>_xlfn.XLOOKUP(A:A,[1]Matriz!$E:$E,[1]Matriz!$BU:$BU)</f>
        <v>CAL237477</v>
      </c>
      <c r="D75" s="3">
        <f>_xlfn.XLOOKUP(A:A,[1]Matriz!$E:$E,[1]Matriz!$BW:$BW)</f>
        <v>46863</v>
      </c>
      <c r="E75" s="2" t="str">
        <f ca="1">_xlfn.XLOOKUP(A:A,[1]Matriz!$E:$E,[1]Matriz!$BY:$BY)</f>
        <v>VIGENTE</v>
      </c>
    </row>
    <row r="76" spans="1:5" hidden="1" x14ac:dyDescent="0.35">
      <c r="A76" s="4" t="s">
        <v>461</v>
      </c>
      <c r="B76" s="4" t="s">
        <v>460</v>
      </c>
      <c r="C76" s="2" t="str">
        <f>_xlfn.XLOOKUP(A:A,[1]Matriz!$E:$E,[1]Matriz!$BU:$BU)</f>
        <v>POR PROGRAMAR 02 DE DICIEMBRE INSECAP / NO NECESITA LOGISTICA</v>
      </c>
      <c r="D76" s="3">
        <f>_xlfn.XLOOKUP(A:A,[1]Matriz!$E:$E,[1]Matriz!$BW:$BW)</f>
        <v>0</v>
      </c>
      <c r="E76" s="2" t="str">
        <f>_xlfn.XLOOKUP(A:A,[1]Matriz!$E:$E,[1]Matriz!$BY:$BY)</f>
        <v>TOMADO</v>
      </c>
    </row>
    <row r="77" spans="1:5" hidden="1" x14ac:dyDescent="0.35">
      <c r="A77" s="4" t="s">
        <v>459</v>
      </c>
      <c r="B77" s="4" t="s">
        <v>458</v>
      </c>
      <c r="C77" s="2">
        <f>_xlfn.XLOOKUP(A:A,[1]Matriz!$E:$E,[1]Matriz!$BU:$BU)</f>
        <v>0</v>
      </c>
      <c r="D77" s="3">
        <f>_xlfn.XLOOKUP(A:A,[1]Matriz!$E:$E,[1]Matriz!$BW:$BW)</f>
        <v>0</v>
      </c>
      <c r="E77" s="2" t="str">
        <f ca="1">_xlfn.XLOOKUP(A:A,[1]Matriz!$E:$E,[1]Matriz!$BY:$BY)</f>
        <v>SIN CURSO</v>
      </c>
    </row>
    <row r="78" spans="1:5" hidden="1" x14ac:dyDescent="0.35">
      <c r="A78" s="4" t="s">
        <v>457</v>
      </c>
      <c r="B78" s="4" t="s">
        <v>456</v>
      </c>
      <c r="C78" s="2">
        <f>_xlfn.XLOOKUP(A:A,[1]Matriz!$E:$E,[1]Matriz!$BU:$BU)</f>
        <v>0</v>
      </c>
      <c r="D78" s="3">
        <f>_xlfn.XLOOKUP(A:A,[1]Matriz!$E:$E,[1]Matriz!$BW:$BW)</f>
        <v>0</v>
      </c>
      <c r="E78" s="2" t="str">
        <f ca="1">_xlfn.XLOOKUP(A:A,[1]Matriz!$E:$E,[1]Matriz!$BY:$BY)</f>
        <v>SIN CURSO</v>
      </c>
    </row>
    <row r="79" spans="1:5" hidden="1" x14ac:dyDescent="0.35">
      <c r="A79" s="4" t="s">
        <v>455</v>
      </c>
      <c r="B79" s="4" t="s">
        <v>454</v>
      </c>
      <c r="C79" s="2">
        <f>_xlfn.XLOOKUP(A:A,[1]Matriz!$E:$E,[1]Matriz!$BU:$BU)</f>
        <v>0</v>
      </c>
      <c r="D79" s="3">
        <f>_xlfn.XLOOKUP(A:A,[1]Matriz!$E:$E,[1]Matriz!$BW:$BW)</f>
        <v>0</v>
      </c>
      <c r="E79" s="2" t="str">
        <f ca="1">_xlfn.XLOOKUP(A:A,[1]Matriz!$E:$E,[1]Matriz!$BY:$BY)</f>
        <v>SIN CURSO</v>
      </c>
    </row>
    <row r="80" spans="1:5" hidden="1" x14ac:dyDescent="0.35">
      <c r="A80" s="4" t="s">
        <v>453</v>
      </c>
      <c r="B80" s="4" t="s">
        <v>452</v>
      </c>
      <c r="C80" s="2">
        <f>_xlfn.XLOOKUP(A:A,[1]Matriz!$E:$E,[1]Matriz!$BU:$BU)</f>
        <v>0</v>
      </c>
      <c r="D80" s="3">
        <f>_xlfn.XLOOKUP(A:A,[1]Matriz!$E:$E,[1]Matriz!$BW:$BW)</f>
        <v>0</v>
      </c>
      <c r="E80" s="2" t="str">
        <f ca="1">_xlfn.XLOOKUP(A:A,[1]Matriz!$E:$E,[1]Matriz!$BY:$BY)</f>
        <v>SIN CURSO</v>
      </c>
    </row>
    <row r="81" spans="1:5" hidden="1" x14ac:dyDescent="0.35">
      <c r="A81" s="4" t="s">
        <v>451</v>
      </c>
      <c r="B81" s="4" t="s">
        <v>450</v>
      </c>
      <c r="C81" s="2" t="str">
        <f>_xlfn.XLOOKUP(A:A,[1]Matriz!$E:$E,[1]Matriz!$BU:$BU)</f>
        <v>CAL234321</v>
      </c>
      <c r="D81" s="3">
        <f>_xlfn.XLOOKUP(A:A,[1]Matriz!$E:$E,[1]Matriz!$BW:$BW)</f>
        <v>46810</v>
      </c>
      <c r="E81" s="2" t="str">
        <f ca="1">_xlfn.XLOOKUP(A:A,[1]Matriz!$E:$E,[1]Matriz!$BY:$BY)</f>
        <v>VIGENTE</v>
      </c>
    </row>
    <row r="82" spans="1:5" hidden="1" x14ac:dyDescent="0.35">
      <c r="A82" s="4" t="s">
        <v>449</v>
      </c>
      <c r="B82" s="4" t="s">
        <v>448</v>
      </c>
      <c r="C82" s="2">
        <f>_xlfn.XLOOKUP(A:A,[1]Matriz!$E:$E,[1]Matriz!$BU:$BU)</f>
        <v>0</v>
      </c>
      <c r="D82" s="3">
        <f>_xlfn.XLOOKUP(A:A,[1]Matriz!$E:$E,[1]Matriz!$BW:$BW)</f>
        <v>0</v>
      </c>
      <c r="E82" s="2" t="str">
        <f>_xlfn.XLOOKUP(A:A,[1]Matriz!$E:$E,[1]Matriz!$BY:$BY)</f>
        <v>GESTIONAR</v>
      </c>
    </row>
    <row r="83" spans="1:5" hidden="1" x14ac:dyDescent="0.35">
      <c r="A83" s="4" t="s">
        <v>447</v>
      </c>
      <c r="B83" s="4" t="s">
        <v>446</v>
      </c>
      <c r="C83" s="2">
        <f>_xlfn.XLOOKUP(A:A,[1]Matriz!$E:$E,[1]Matriz!$BU:$BU)</f>
        <v>0</v>
      </c>
      <c r="D83" s="3">
        <f>_xlfn.XLOOKUP(A:A,[1]Matriz!$E:$E,[1]Matriz!$BW:$BW)</f>
        <v>0</v>
      </c>
      <c r="E83" s="2" t="str">
        <f ca="1">_xlfn.XLOOKUP(A:A,[1]Matriz!$E:$E,[1]Matriz!$BY:$BY)</f>
        <v>SIN CURSO</v>
      </c>
    </row>
    <row r="84" spans="1:5" hidden="1" x14ac:dyDescent="0.35">
      <c r="A84" s="4" t="s">
        <v>445</v>
      </c>
      <c r="B84" s="4" t="s">
        <v>444</v>
      </c>
      <c r="C84" s="2" t="str">
        <f>_xlfn.XLOOKUP(A:A,[1]Matriz!$E:$E,[1]Matriz!$BU:$BU)</f>
        <v>PENDIENTE CERTIFICADO POR MODIFICACIÓN</v>
      </c>
      <c r="D84" s="3">
        <f>_xlfn.XLOOKUP(A:A,[1]Matriz!$E:$E,[1]Matriz!$BW:$BW)</f>
        <v>46880</v>
      </c>
      <c r="E84" s="2" t="str">
        <f ca="1">_xlfn.XLOOKUP(A:A,[1]Matriz!$E:$E,[1]Matriz!$BY:$BY)</f>
        <v>VIGENTE</v>
      </c>
    </row>
    <row r="85" spans="1:5" hidden="1" x14ac:dyDescent="0.35">
      <c r="A85" s="4" t="s">
        <v>443</v>
      </c>
      <c r="B85" s="4" t="s">
        <v>442</v>
      </c>
      <c r="C85" s="2">
        <f>_xlfn.XLOOKUP(A:A,[1]Matriz!$E:$E,[1]Matriz!$BU:$BU)</f>
        <v>0</v>
      </c>
      <c r="D85" s="3">
        <f>_xlfn.XLOOKUP(A:A,[1]Matriz!$E:$E,[1]Matriz!$BW:$BW)</f>
        <v>0</v>
      </c>
      <c r="E85" s="2" t="str">
        <f ca="1">_xlfn.XLOOKUP(A:A,[1]Matriz!$E:$E,[1]Matriz!$BY:$BY)</f>
        <v>SIN CURSO</v>
      </c>
    </row>
    <row r="86" spans="1:5" hidden="1" x14ac:dyDescent="0.35">
      <c r="A86" s="4" t="s">
        <v>441</v>
      </c>
      <c r="B86" s="4" t="s">
        <v>440</v>
      </c>
      <c r="C86" s="2" t="e">
        <f ca="1">_xlfn.XLOOKUP(A:A,[1]Matriz!$E:$E,[1]Matriz!$BU:$BU)</f>
        <v>#REF!</v>
      </c>
      <c r="D86" s="3">
        <f>_xlfn.XLOOKUP(A:A,[1]Matriz!$E:$E,[1]Matriz!$BW:$BW)</f>
        <v>0</v>
      </c>
      <c r="E86" s="2" t="str">
        <f ca="1">_xlfn.XLOOKUP(A:A,[1]Matriz!$E:$E,[1]Matriz!$BY:$BY)</f>
        <v>SIN CURSO</v>
      </c>
    </row>
    <row r="87" spans="1:5" hidden="1" x14ac:dyDescent="0.35">
      <c r="A87" s="4" t="s">
        <v>439</v>
      </c>
      <c r="B87" s="4" t="s">
        <v>438</v>
      </c>
      <c r="C87" s="2">
        <f>_xlfn.XLOOKUP(A:A,[1]Matriz!$E:$E,[1]Matriz!$BU:$BU)</f>
        <v>0</v>
      </c>
      <c r="D87" s="3">
        <f>_xlfn.XLOOKUP(A:A,[1]Matriz!$E:$E,[1]Matriz!$BW:$BW)</f>
        <v>0</v>
      </c>
      <c r="E87" s="2" t="str">
        <f ca="1">_xlfn.XLOOKUP(A:A,[1]Matriz!$E:$E,[1]Matriz!$BY:$BY)</f>
        <v>SIN CURSO</v>
      </c>
    </row>
    <row r="88" spans="1:5" hidden="1" x14ac:dyDescent="0.35">
      <c r="A88" s="4" t="s">
        <v>437</v>
      </c>
      <c r="B88" s="4" t="s">
        <v>436</v>
      </c>
      <c r="C88" s="2" t="str">
        <f>_xlfn.XLOOKUP(A:A,[1]Matriz!$E:$E,[1]Matriz!$BU:$BU)</f>
        <v>CAL233675</v>
      </c>
      <c r="D88" s="3">
        <f>_xlfn.XLOOKUP(A:A,[1]Matriz!$E:$E,[1]Matriz!$BW:$BW)</f>
        <v>46803</v>
      </c>
      <c r="E88" s="2" t="str">
        <f ca="1">_xlfn.XLOOKUP(A:A,[1]Matriz!$E:$E,[1]Matriz!$BY:$BY)</f>
        <v>VIGENTE</v>
      </c>
    </row>
    <row r="89" spans="1:5" hidden="1" x14ac:dyDescent="0.35">
      <c r="A89" s="4" t="s">
        <v>435</v>
      </c>
      <c r="B89" s="12" t="s">
        <v>434</v>
      </c>
      <c r="C89" s="2">
        <f>_xlfn.XLOOKUP(A:A,[1]Matriz!$E:$E,[1]Matriz!$BU:$BU)</f>
        <v>0</v>
      </c>
      <c r="D89" s="3">
        <f>_xlfn.XLOOKUP(A:A,[1]Matriz!$E:$E,[1]Matriz!$BW:$BW)</f>
        <v>0</v>
      </c>
      <c r="E89" s="2" t="str">
        <f ca="1">_xlfn.XLOOKUP(A:A,[1]Matriz!$E:$E,[1]Matriz!$BY:$BY)</f>
        <v>SIN CURSO</v>
      </c>
    </row>
    <row r="90" spans="1:5" hidden="1" x14ac:dyDescent="0.35">
      <c r="A90" s="4" t="s">
        <v>433</v>
      </c>
      <c r="B90" s="4" t="s">
        <v>432</v>
      </c>
      <c r="C90" s="2">
        <f>_xlfn.XLOOKUP(A:A,[1]Matriz!$E:$E,[1]Matriz!$BU:$BU)</f>
        <v>0</v>
      </c>
      <c r="D90" s="3">
        <f>_xlfn.XLOOKUP(A:A,[1]Matriz!$E:$E,[1]Matriz!$BW:$BW)</f>
        <v>45441</v>
      </c>
      <c r="E90" s="2" t="str">
        <f>_xlfn.XLOOKUP(A:A,[1]Matriz!$E:$E,[1]Matriz!$BY:$BY)</f>
        <v>SIN CURSO</v>
      </c>
    </row>
    <row r="91" spans="1:5" hidden="1" x14ac:dyDescent="0.35">
      <c r="A91" s="11" t="s">
        <v>431</v>
      </c>
      <c r="B91" s="4" t="s">
        <v>430</v>
      </c>
      <c r="C91" s="2" t="str">
        <f>_xlfn.XLOOKUP(A:A,[1]Matriz!$E:$E,[1]Matriz!$BU:$BU)</f>
        <v>CAL237477</v>
      </c>
      <c r="D91" s="3">
        <f>_xlfn.XLOOKUP(A:A,[1]Matriz!$E:$E,[1]Matriz!$BW:$BW)</f>
        <v>46863</v>
      </c>
      <c r="E91" s="2" t="str">
        <f ca="1">_xlfn.XLOOKUP(A:A,[1]Matriz!$E:$E,[1]Matriz!$BY:$BY)</f>
        <v>VIGENTE</v>
      </c>
    </row>
    <row r="92" spans="1:5" hidden="1" x14ac:dyDescent="0.35">
      <c r="A92" s="4" t="s">
        <v>429</v>
      </c>
      <c r="B92" s="4" t="s">
        <v>428</v>
      </c>
      <c r="C92" s="2" t="str">
        <f>_xlfn.XLOOKUP(A:A,[1]Matriz!$E:$E,[1]Matriz!$BU:$BU)</f>
        <v>FASE 4 ACREDITADO CAEX 980E &amp; 930E</v>
      </c>
      <c r="D92" s="3">
        <f>_xlfn.XLOOKUP(A:A,[1]Matriz!$E:$E,[1]Matriz!$BW:$BW)</f>
        <v>46410</v>
      </c>
      <c r="E92" s="2" t="str">
        <f ca="1">_xlfn.XLOOKUP(A:A,[1]Matriz!$E:$E,[1]Matriz!$BY:$BY)</f>
        <v>VIGENTE</v>
      </c>
    </row>
    <row r="93" spans="1:5" hidden="1" x14ac:dyDescent="0.35">
      <c r="A93" s="4" t="s">
        <v>427</v>
      </c>
      <c r="B93" s="4" t="s">
        <v>426</v>
      </c>
      <c r="C93" s="2">
        <f>_xlfn.XLOOKUP(A:A,[1]Matriz!$E:$E,[1]Matriz!$BU:$BU)</f>
        <v>0</v>
      </c>
      <c r="D93" s="3">
        <f>_xlfn.XLOOKUP(A:A,[1]Matriz!$E:$E,[1]Matriz!$BW:$BW)</f>
        <v>0</v>
      </c>
      <c r="E93" s="2" t="str">
        <f ca="1">_xlfn.XLOOKUP(A:A,[1]Matriz!$E:$E,[1]Matriz!$BY:$BY)</f>
        <v>SIN CURSO</v>
      </c>
    </row>
    <row r="94" spans="1:5" hidden="1" x14ac:dyDescent="0.35">
      <c r="A94" s="4" t="s">
        <v>425</v>
      </c>
      <c r="B94" s="4" t="s">
        <v>424</v>
      </c>
      <c r="C94" s="2">
        <f>_xlfn.XLOOKUP(A:A,[1]Matriz!$E:$E,[1]Matriz!$BU:$BU)</f>
        <v>0</v>
      </c>
      <c r="D94" s="3">
        <f>_xlfn.XLOOKUP(A:A,[1]Matriz!$E:$E,[1]Matriz!$BW:$BW)</f>
        <v>0</v>
      </c>
      <c r="E94" s="2" t="str">
        <f ca="1">_xlfn.XLOOKUP(A:A,[1]Matriz!$E:$E,[1]Matriz!$BY:$BY)</f>
        <v>SIN CURSO</v>
      </c>
    </row>
    <row r="95" spans="1:5" hidden="1" x14ac:dyDescent="0.35">
      <c r="A95" s="4" t="s">
        <v>423</v>
      </c>
      <c r="B95" s="4" t="s">
        <v>422</v>
      </c>
      <c r="C95" s="2">
        <f>_xlfn.XLOOKUP(A:A,[1]Matriz!$E:$E,[1]Matriz!$BU:$BU)</f>
        <v>0</v>
      </c>
      <c r="D95" s="3">
        <f>_xlfn.XLOOKUP(A:A,[1]Matriz!$E:$E,[1]Matriz!$BW:$BW)</f>
        <v>0</v>
      </c>
      <c r="E95" s="2" t="str">
        <f ca="1">_xlfn.XLOOKUP(A:A,[1]Matriz!$E:$E,[1]Matriz!$BY:$BY)</f>
        <v>SIN CURSO</v>
      </c>
    </row>
    <row r="96" spans="1:5" hidden="1" x14ac:dyDescent="0.35">
      <c r="A96" s="4" t="s">
        <v>421</v>
      </c>
      <c r="B96" s="4" t="s">
        <v>420</v>
      </c>
      <c r="C96" s="2" t="str">
        <f>_xlfn.XLOOKUP(A:A,[1]Matriz!$E:$E,[1]Matriz!$BU:$BU)</f>
        <v>CAL234321</v>
      </c>
      <c r="D96" s="3">
        <f>_xlfn.XLOOKUP(A:A,[1]Matriz!$E:$E,[1]Matriz!$BW:$BW)</f>
        <v>46810</v>
      </c>
      <c r="E96" s="2" t="str">
        <f ca="1">_xlfn.XLOOKUP(A:A,[1]Matriz!$E:$E,[1]Matriz!$BY:$BY)</f>
        <v>VIGENTE</v>
      </c>
    </row>
    <row r="97" spans="1:5" hidden="1" x14ac:dyDescent="0.35">
      <c r="A97" s="4" t="s">
        <v>419</v>
      </c>
      <c r="B97" s="4" t="s">
        <v>418</v>
      </c>
      <c r="C97" s="2">
        <f>_xlfn.XLOOKUP(A:A,[1]Matriz!$E:$E,[1]Matriz!$BU:$BU)</f>
        <v>0</v>
      </c>
      <c r="D97" s="3">
        <f>_xlfn.XLOOKUP(A:A,[1]Matriz!$E:$E,[1]Matriz!$BW:$BW)</f>
        <v>0</v>
      </c>
      <c r="E97" s="2" t="str">
        <f ca="1">_xlfn.XLOOKUP(A:A,[1]Matriz!$E:$E,[1]Matriz!$BY:$BY)</f>
        <v>SIN CURSO</v>
      </c>
    </row>
    <row r="98" spans="1:5" hidden="1" x14ac:dyDescent="0.35">
      <c r="A98" s="4" t="s">
        <v>417</v>
      </c>
      <c r="B98" s="4" t="s">
        <v>416</v>
      </c>
      <c r="C98" s="2">
        <f>_xlfn.XLOOKUP(A:A,[1]Matriz!$E:$E,[1]Matriz!$BU:$BU)</f>
        <v>0</v>
      </c>
      <c r="D98" s="3">
        <f>_xlfn.XLOOKUP(A:A,[1]Matriz!$E:$E,[1]Matriz!$BW:$BW)</f>
        <v>0</v>
      </c>
      <c r="E98" s="2" t="str">
        <f ca="1">_xlfn.XLOOKUP(A:A,[1]Matriz!$E:$E,[1]Matriz!$BY:$BY)</f>
        <v>SIN CURSO</v>
      </c>
    </row>
    <row r="99" spans="1:5" hidden="1" x14ac:dyDescent="0.35">
      <c r="A99" s="11" t="s">
        <v>415</v>
      </c>
      <c r="B99" s="4" t="s">
        <v>414</v>
      </c>
      <c r="C99" s="2">
        <f>_xlfn.XLOOKUP(A:A,[1]Matriz!$E:$E,[1]Matriz!$BU:$BU)</f>
        <v>0</v>
      </c>
      <c r="D99" s="3">
        <f>_xlfn.XLOOKUP(A:A,[1]Matriz!$E:$E,[1]Matriz!$BW:$BW)</f>
        <v>0</v>
      </c>
      <c r="E99" s="2" t="str">
        <f ca="1">_xlfn.XLOOKUP(A:A,[1]Matriz!$E:$E,[1]Matriz!$BY:$BY)</f>
        <v>SIN CURSO</v>
      </c>
    </row>
    <row r="100" spans="1:5" hidden="1" x14ac:dyDescent="0.35">
      <c r="A100" s="4" t="s">
        <v>413</v>
      </c>
      <c r="B100" s="4" t="s">
        <v>412</v>
      </c>
      <c r="C100" s="2">
        <f>_xlfn.XLOOKUP(A:A,[1]Matriz!$E:$E,[1]Matriz!$BU:$BU)</f>
        <v>0</v>
      </c>
      <c r="D100" s="3">
        <f>_xlfn.XLOOKUP(A:A,[1]Matriz!$E:$E,[1]Matriz!$BW:$BW)</f>
        <v>0</v>
      </c>
      <c r="E100" s="2" t="str">
        <f>_xlfn.XLOOKUP(A:A,[1]Matriz!$E:$E,[1]Matriz!$BY:$BY)</f>
        <v>SIN CURSO</v>
      </c>
    </row>
    <row r="101" spans="1:5" hidden="1" x14ac:dyDescent="0.35">
      <c r="A101" s="4" t="s">
        <v>411</v>
      </c>
      <c r="B101" s="4" t="s">
        <v>410</v>
      </c>
      <c r="C101" s="2">
        <f>_xlfn.XLOOKUP(A:A,[1]Matriz!$E:$E,[1]Matriz!$BU:$BU)</f>
        <v>0</v>
      </c>
      <c r="D101" s="3">
        <f>_xlfn.XLOOKUP(A:A,[1]Matriz!$E:$E,[1]Matriz!$BW:$BW)</f>
        <v>0</v>
      </c>
      <c r="E101" s="2" t="str">
        <f ca="1">_xlfn.XLOOKUP(A:A,[1]Matriz!$E:$E,[1]Matriz!$BY:$BY)</f>
        <v>SIN CURSO</v>
      </c>
    </row>
    <row r="102" spans="1:5" hidden="1" x14ac:dyDescent="0.35">
      <c r="A102" s="4" t="s">
        <v>409</v>
      </c>
      <c r="B102" s="4" t="s">
        <v>408</v>
      </c>
      <c r="C102" s="2">
        <f>_xlfn.XLOOKUP(A:A,[1]Matriz!$E:$E,[1]Matriz!$BU:$BU)</f>
        <v>0</v>
      </c>
      <c r="D102" s="3">
        <f>_xlfn.XLOOKUP(A:A,[1]Matriz!$E:$E,[1]Matriz!$BW:$BW)</f>
        <v>0</v>
      </c>
      <c r="E102" s="2" t="str">
        <f ca="1">_xlfn.XLOOKUP(A:A,[1]Matriz!$E:$E,[1]Matriz!$BY:$BY)</f>
        <v>SIN CURSO</v>
      </c>
    </row>
    <row r="103" spans="1:5" hidden="1" x14ac:dyDescent="0.35">
      <c r="A103" s="4" t="s">
        <v>407</v>
      </c>
      <c r="B103" s="4" t="s">
        <v>406</v>
      </c>
      <c r="C103" s="2" t="str">
        <f>_xlfn.XLOOKUP(A:A,[1]Matriz!$E:$E,[1]Matriz!$BU:$BU)</f>
        <v>PENDIENTE CERTIFICADO POR MODIFICACIÓN</v>
      </c>
      <c r="D103" s="3">
        <f>_xlfn.XLOOKUP(A:A,[1]Matriz!$E:$E,[1]Matriz!$BW:$BW)</f>
        <v>46880</v>
      </c>
      <c r="E103" s="2" t="str">
        <f ca="1">_xlfn.XLOOKUP(A:A,[1]Matriz!$E:$E,[1]Matriz!$BY:$BY)</f>
        <v>VIGENTE</v>
      </c>
    </row>
    <row r="104" spans="1:5" hidden="1" x14ac:dyDescent="0.35">
      <c r="A104" s="4" t="s">
        <v>405</v>
      </c>
      <c r="B104" s="4" t="s">
        <v>404</v>
      </c>
      <c r="C104" s="2">
        <f>_xlfn.XLOOKUP(A:A,[1]Matriz!$E:$E,[1]Matriz!$BU:$BU)</f>
        <v>0</v>
      </c>
      <c r="D104" s="3">
        <f>_xlfn.XLOOKUP(A:A,[1]Matriz!$E:$E,[1]Matriz!$BW:$BW)</f>
        <v>0</v>
      </c>
      <c r="E104" s="2" t="str">
        <f ca="1">_xlfn.XLOOKUP(A:A,[1]Matriz!$E:$E,[1]Matriz!$BY:$BY)</f>
        <v>SIN CURSO</v>
      </c>
    </row>
    <row r="105" spans="1:5" hidden="1" x14ac:dyDescent="0.35">
      <c r="A105" s="11" t="s">
        <v>403</v>
      </c>
      <c r="B105" s="4" t="s">
        <v>402</v>
      </c>
      <c r="C105" s="2">
        <f>_xlfn.XLOOKUP(A:A,[1]Matriz!$E:$E,[1]Matriz!$BU:$BU)</f>
        <v>0</v>
      </c>
      <c r="D105" s="3">
        <f>_xlfn.XLOOKUP(A:A,[1]Matriz!$E:$E,[1]Matriz!$BW:$BW)</f>
        <v>0</v>
      </c>
      <c r="E105" s="2" t="str">
        <f ca="1">_xlfn.XLOOKUP(A:A,[1]Matriz!$E:$E,[1]Matriz!$BY:$BY)</f>
        <v>SIN CURSO</v>
      </c>
    </row>
    <row r="106" spans="1:5" hidden="1" x14ac:dyDescent="0.35">
      <c r="A106" s="4" t="s">
        <v>401</v>
      </c>
      <c r="B106" s="4" t="s">
        <v>400</v>
      </c>
      <c r="C106" s="2">
        <f>_xlfn.XLOOKUP(A:A,[1]Matriz!$E:$E,[1]Matriz!$BU:$BU)</f>
        <v>0</v>
      </c>
      <c r="D106" s="3">
        <f>_xlfn.XLOOKUP(A:A,[1]Matriz!$E:$E,[1]Matriz!$BW:$BW)</f>
        <v>0</v>
      </c>
      <c r="E106" s="2" t="str">
        <f ca="1">_xlfn.XLOOKUP(A:A,[1]Matriz!$E:$E,[1]Matriz!$BY:$BY)</f>
        <v>SIN CURSO</v>
      </c>
    </row>
    <row r="107" spans="1:5" hidden="1" x14ac:dyDescent="0.35">
      <c r="A107" s="4" t="s">
        <v>399</v>
      </c>
      <c r="B107" s="4" t="s">
        <v>398</v>
      </c>
      <c r="C107" s="2">
        <f>_xlfn.XLOOKUP(A:A,[1]Matriz!$E:$E,[1]Matriz!$BU:$BU)</f>
        <v>0</v>
      </c>
      <c r="D107" s="3">
        <f>_xlfn.XLOOKUP(A:A,[1]Matriz!$E:$E,[1]Matriz!$BW:$BW)</f>
        <v>0</v>
      </c>
      <c r="E107" s="2" t="str">
        <f ca="1">_xlfn.XLOOKUP(A:A,[1]Matriz!$E:$E,[1]Matriz!$BY:$BY)</f>
        <v>SIN CURSO</v>
      </c>
    </row>
    <row r="108" spans="1:5" hidden="1" x14ac:dyDescent="0.35">
      <c r="A108" s="4" t="s">
        <v>397</v>
      </c>
      <c r="B108" s="4" t="s">
        <v>396</v>
      </c>
      <c r="C108" s="2">
        <f>_xlfn.XLOOKUP(A:A,[1]Matriz!$E:$E,[1]Matriz!$BU:$BU)</f>
        <v>0</v>
      </c>
      <c r="D108" s="3">
        <f>_xlfn.XLOOKUP(A:A,[1]Matriz!$E:$E,[1]Matriz!$BW:$BW)</f>
        <v>0</v>
      </c>
      <c r="E108" s="2" t="str">
        <f ca="1">_xlfn.XLOOKUP(A:A,[1]Matriz!$E:$E,[1]Matriz!$BY:$BY)</f>
        <v>SIN CURSO</v>
      </c>
    </row>
    <row r="109" spans="1:5" hidden="1" x14ac:dyDescent="0.35">
      <c r="A109" s="4" t="s">
        <v>395</v>
      </c>
      <c r="B109" s="4" t="s">
        <v>394</v>
      </c>
      <c r="C109" s="2">
        <f>_xlfn.XLOOKUP(A:A,[1]Matriz!$E:$E,[1]Matriz!$BU:$BU)</f>
        <v>0</v>
      </c>
      <c r="D109" s="3">
        <f>_xlfn.XLOOKUP(A:A,[1]Matriz!$E:$E,[1]Matriz!$BW:$BW)</f>
        <v>0</v>
      </c>
      <c r="E109" s="2" t="str">
        <f ca="1">_xlfn.XLOOKUP(A:A,[1]Matriz!$E:$E,[1]Matriz!$BY:$BY)</f>
        <v>SIN CURSO</v>
      </c>
    </row>
    <row r="110" spans="1:5" hidden="1" x14ac:dyDescent="0.35">
      <c r="A110" s="11" t="s">
        <v>393</v>
      </c>
      <c r="B110" s="4" t="s">
        <v>392</v>
      </c>
      <c r="C110" s="2">
        <f>_xlfn.XLOOKUP(A:A,[1]Matriz!$E:$E,[1]Matriz!$BU:$BU)</f>
        <v>0</v>
      </c>
      <c r="D110" s="3">
        <f>_xlfn.XLOOKUP(A:A,[1]Matriz!$E:$E,[1]Matriz!$BW:$BW)</f>
        <v>0</v>
      </c>
      <c r="E110" s="2" t="str">
        <f ca="1">_xlfn.XLOOKUP(A:A,[1]Matriz!$E:$E,[1]Matriz!$BY:$BY)</f>
        <v>SIN CURSO</v>
      </c>
    </row>
    <row r="111" spans="1:5" hidden="1" x14ac:dyDescent="0.35">
      <c r="A111" s="11" t="s">
        <v>391</v>
      </c>
      <c r="B111" s="4" t="s">
        <v>390</v>
      </c>
      <c r="C111" s="2">
        <f>_xlfn.XLOOKUP(A:A,[1]Matriz!$E:$E,[1]Matriz!$BU:$BU)</f>
        <v>0</v>
      </c>
      <c r="D111" s="3">
        <f>_xlfn.XLOOKUP(A:A,[1]Matriz!$E:$E,[1]Matriz!$BW:$BW)</f>
        <v>0</v>
      </c>
      <c r="E111" s="2" t="str">
        <f ca="1">_xlfn.XLOOKUP(A:A,[1]Matriz!$E:$E,[1]Matriz!$BY:$BY)</f>
        <v>SIN CURSO</v>
      </c>
    </row>
    <row r="112" spans="1:5" hidden="1" x14ac:dyDescent="0.35">
      <c r="A112" s="4" t="s">
        <v>389</v>
      </c>
      <c r="B112" s="4" t="s">
        <v>388</v>
      </c>
      <c r="C112" s="2" t="str">
        <f>_xlfn.XLOOKUP(A:A,[1]Matriz!$E:$E,[1]Matriz!$BU:$BU)</f>
        <v>FASE 1 MANIPULADOR CAEX 980E Y 930E</v>
      </c>
      <c r="D112" s="3">
        <f>_xlfn.XLOOKUP(A:A,[1]Matriz!$E:$E,[1]Matriz!$BW:$BW)</f>
        <v>46172</v>
      </c>
      <c r="E112" s="2" t="str">
        <f ca="1">_xlfn.XLOOKUP(A:A,[1]Matriz!$E:$E,[1]Matriz!$BY:$BY)</f>
        <v>VENCIDO</v>
      </c>
    </row>
    <row r="113" spans="1:5" hidden="1" x14ac:dyDescent="0.35">
      <c r="A113" s="4" t="s">
        <v>387</v>
      </c>
      <c r="B113" s="4" t="s">
        <v>386</v>
      </c>
      <c r="C113" s="2">
        <f>_xlfn.XLOOKUP(A:A,[1]Matriz!$E:$E,[1]Matriz!$BU:$BU)</f>
        <v>0</v>
      </c>
      <c r="D113" s="3">
        <f>_xlfn.XLOOKUP(A:A,[1]Matriz!$E:$E,[1]Matriz!$BW:$BW)</f>
        <v>0</v>
      </c>
      <c r="E113" s="2" t="str">
        <f ca="1">_xlfn.XLOOKUP(A:A,[1]Matriz!$E:$E,[1]Matriz!$BY:$BY)</f>
        <v>SIN CURSO</v>
      </c>
    </row>
    <row r="114" spans="1:5" hidden="1" x14ac:dyDescent="0.35">
      <c r="A114" s="11" t="s">
        <v>385</v>
      </c>
      <c r="B114" s="4" t="s">
        <v>384</v>
      </c>
      <c r="C114" s="2">
        <f>_xlfn.XLOOKUP(A:A,[1]Matriz!$E:$E,[1]Matriz!$BU:$BU)</f>
        <v>0</v>
      </c>
      <c r="D114" s="3">
        <f>_xlfn.XLOOKUP(A:A,[1]Matriz!$E:$E,[1]Matriz!$BW:$BW)</f>
        <v>0</v>
      </c>
      <c r="E114" s="2" t="str">
        <f ca="1">_xlfn.XLOOKUP(A:A,[1]Matriz!$E:$E,[1]Matriz!$BY:$BY)</f>
        <v>SIN CURSO</v>
      </c>
    </row>
    <row r="115" spans="1:5" hidden="1" x14ac:dyDescent="0.35">
      <c r="A115" s="4" t="s">
        <v>383</v>
      </c>
      <c r="B115" s="4" t="s">
        <v>382</v>
      </c>
      <c r="C115" s="2" t="str">
        <f>_xlfn.XLOOKUP(A:A,[1]Matriz!$E:$E,[1]Matriz!$BU:$BU)</f>
        <v>POR PROGRAMAR 25 DE NOVIEMBRE INSECAP / CONFIRMADO NO QUIERE LOGISTICA</v>
      </c>
      <c r="D115" s="3">
        <f>_xlfn.XLOOKUP(A:A,[1]Matriz!$E:$E,[1]Matriz!$BW:$BW)</f>
        <v>0</v>
      </c>
      <c r="E115" s="2" t="str">
        <f>_xlfn.XLOOKUP(A:A,[1]Matriz!$E:$E,[1]Matriz!$BY:$BY)</f>
        <v>TOMADO</v>
      </c>
    </row>
    <row r="116" spans="1:5" hidden="1" x14ac:dyDescent="0.35">
      <c r="A116" s="4" t="s">
        <v>381</v>
      </c>
      <c r="B116" s="4" t="s">
        <v>380</v>
      </c>
      <c r="C116" s="2" t="str">
        <f>_xlfn.XLOOKUP(A:A,[1]Matriz!$E:$E,[1]Matriz!$BU:$BU)</f>
        <v>FASE 4 ACREDITADO CAEX 980E &amp; 930E</v>
      </c>
      <c r="D116" s="3">
        <f>_xlfn.XLOOKUP(A:A,[1]Matriz!$E:$E,[1]Matriz!$BW:$BW)</f>
        <v>46410</v>
      </c>
      <c r="E116" s="2" t="str">
        <f ca="1">_xlfn.XLOOKUP(A:A,[1]Matriz!$E:$E,[1]Matriz!$BY:$BY)</f>
        <v>VIGENTE</v>
      </c>
    </row>
    <row r="117" spans="1:5" hidden="1" x14ac:dyDescent="0.35">
      <c r="A117" s="11" t="s">
        <v>379</v>
      </c>
      <c r="B117" s="4" t="s">
        <v>378</v>
      </c>
      <c r="C117" s="2">
        <f>_xlfn.XLOOKUP(A:A,[1]Matriz!$E:$E,[1]Matriz!$BU:$BU)</f>
        <v>0</v>
      </c>
      <c r="D117" s="3">
        <f>_xlfn.XLOOKUP(A:A,[1]Matriz!$E:$E,[1]Matriz!$BW:$BW)</f>
        <v>0</v>
      </c>
      <c r="E117" s="2" t="str">
        <f ca="1">_xlfn.XLOOKUP(A:A,[1]Matriz!$E:$E,[1]Matriz!$BY:$BY)</f>
        <v>SIN CURSO</v>
      </c>
    </row>
    <row r="118" spans="1:5" hidden="1" x14ac:dyDescent="0.35">
      <c r="A118" s="4" t="s">
        <v>377</v>
      </c>
      <c r="B118" s="4" t="s">
        <v>376</v>
      </c>
      <c r="C118" s="2">
        <f>_xlfn.XLOOKUP(A:A,[1]Matriz!$E:$E,[1]Matriz!$BU:$BU)</f>
        <v>0</v>
      </c>
      <c r="D118" s="3">
        <f>_xlfn.XLOOKUP(A:A,[1]Matriz!$E:$E,[1]Matriz!$BW:$BW)</f>
        <v>0</v>
      </c>
      <c r="E118" s="2" t="str">
        <f ca="1">_xlfn.XLOOKUP(A:A,[1]Matriz!$E:$E,[1]Matriz!$BY:$BY)</f>
        <v>SIN CURSO</v>
      </c>
    </row>
    <row r="119" spans="1:5" hidden="1" x14ac:dyDescent="0.35">
      <c r="A119" s="4" t="s">
        <v>375</v>
      </c>
      <c r="B119" s="4" t="s">
        <v>374</v>
      </c>
      <c r="C119" s="2" t="str">
        <f>_xlfn.XLOOKUP(A:A,[1]Matriz!$E:$E,[1]Matriz!$BU:$BU)</f>
        <v>FASE 1 MANIPULADOR CAEX 980E Y 930E</v>
      </c>
      <c r="D119" s="3">
        <f>_xlfn.XLOOKUP(A:A,[1]Matriz!$E:$E,[1]Matriz!$BW:$BW)</f>
        <v>46438</v>
      </c>
      <c r="E119" s="2" t="str">
        <f ca="1">_xlfn.XLOOKUP(A:A,[1]Matriz!$E:$E,[1]Matriz!$BY:$BY)</f>
        <v>VIGENTE</v>
      </c>
    </row>
    <row r="120" spans="1:5" hidden="1" x14ac:dyDescent="0.35">
      <c r="A120" s="11" t="s">
        <v>373</v>
      </c>
      <c r="B120" s="4" t="s">
        <v>372</v>
      </c>
      <c r="C120" s="2">
        <f>_xlfn.XLOOKUP(A:A,[1]Matriz!$E:$E,[1]Matriz!$BU:$BU)</f>
        <v>0</v>
      </c>
      <c r="D120" s="3">
        <f>_xlfn.XLOOKUP(A:A,[1]Matriz!$E:$E,[1]Matriz!$BW:$BW)</f>
        <v>0</v>
      </c>
      <c r="E120" s="2" t="str">
        <f ca="1">_xlfn.XLOOKUP(A:A,[1]Matriz!$E:$E,[1]Matriz!$BY:$BY)</f>
        <v>SIN CURSO</v>
      </c>
    </row>
    <row r="121" spans="1:5" hidden="1" x14ac:dyDescent="0.35">
      <c r="A121" s="14" t="s">
        <v>371</v>
      </c>
      <c r="B121" s="4" t="s">
        <v>370</v>
      </c>
      <c r="C121" s="2">
        <f>_xlfn.XLOOKUP(A:A,[1]Matriz!$E:$E,[1]Matriz!$BU:$BU)</f>
        <v>0</v>
      </c>
      <c r="D121" s="3">
        <f>_xlfn.XLOOKUP(A:A,[1]Matriz!$E:$E,[1]Matriz!$BW:$BW)</f>
        <v>0</v>
      </c>
      <c r="E121" s="2" t="str">
        <f ca="1">_xlfn.XLOOKUP(A:A,[1]Matriz!$E:$E,[1]Matriz!$BY:$BY)</f>
        <v>SIN CURSO</v>
      </c>
    </row>
    <row r="122" spans="1:5" hidden="1" x14ac:dyDescent="0.35">
      <c r="A122" s="4" t="s">
        <v>369</v>
      </c>
      <c r="B122" s="4" t="s">
        <v>368</v>
      </c>
      <c r="C122" s="2">
        <f>_xlfn.XLOOKUP(A:A,[1]Matriz!$E:$E,[1]Matriz!$BU:$BU)</f>
        <v>0</v>
      </c>
      <c r="D122" s="3">
        <f>_xlfn.XLOOKUP(A:A,[1]Matriz!$E:$E,[1]Matriz!$BW:$BW)</f>
        <v>0</v>
      </c>
      <c r="E122" s="2" t="str">
        <f ca="1">_xlfn.XLOOKUP(A:A,[1]Matriz!$E:$E,[1]Matriz!$BY:$BY)</f>
        <v>SIN CURSO</v>
      </c>
    </row>
    <row r="123" spans="1:5" hidden="1" x14ac:dyDescent="0.35">
      <c r="A123" s="4" t="s">
        <v>367</v>
      </c>
      <c r="B123" s="4" t="s">
        <v>366</v>
      </c>
      <c r="C123" s="2">
        <f>_xlfn.XLOOKUP(A:A,[1]Matriz!$E:$E,[1]Matriz!$BU:$BU)</f>
        <v>0</v>
      </c>
      <c r="D123" s="3">
        <f>_xlfn.XLOOKUP(A:A,[1]Matriz!$E:$E,[1]Matriz!$BW:$BW)</f>
        <v>0</v>
      </c>
      <c r="E123" s="2" t="str">
        <f ca="1">_xlfn.XLOOKUP(A:A,[1]Matriz!$E:$E,[1]Matriz!$BY:$BY)</f>
        <v>SIN CURSO</v>
      </c>
    </row>
    <row r="124" spans="1:5" hidden="1" x14ac:dyDescent="0.35">
      <c r="A124" s="4" t="s">
        <v>365</v>
      </c>
      <c r="B124" s="4" t="s">
        <v>364</v>
      </c>
      <c r="C124" s="2">
        <f>_xlfn.XLOOKUP(A:A,[1]Matriz!$E:$E,[1]Matriz!$BU:$BU)</f>
        <v>0</v>
      </c>
      <c r="D124" s="3">
        <f>_xlfn.XLOOKUP(A:A,[1]Matriz!$E:$E,[1]Matriz!$BW:$BW)</f>
        <v>0</v>
      </c>
      <c r="E124" s="2" t="str">
        <f ca="1">_xlfn.XLOOKUP(A:A,[1]Matriz!$E:$E,[1]Matriz!$BY:$BY)</f>
        <v>SIN CURSO</v>
      </c>
    </row>
    <row r="125" spans="1:5" hidden="1" x14ac:dyDescent="0.35">
      <c r="A125" s="4" t="s">
        <v>363</v>
      </c>
      <c r="B125" s="4" t="s">
        <v>362</v>
      </c>
      <c r="C125" s="2">
        <f>_xlfn.XLOOKUP(A:A,[1]Matriz!$E:$E,[1]Matriz!$BU:$BU)</f>
        <v>0</v>
      </c>
      <c r="D125" s="3">
        <f>_xlfn.XLOOKUP(A:A,[1]Matriz!$E:$E,[1]Matriz!$BW:$BW)</f>
        <v>0</v>
      </c>
      <c r="E125" s="2" t="str">
        <f ca="1">_xlfn.XLOOKUP(A:A,[1]Matriz!$E:$E,[1]Matriz!$BY:$BY)</f>
        <v>SIN CURSO</v>
      </c>
    </row>
    <row r="126" spans="1:5" hidden="1" x14ac:dyDescent="0.35">
      <c r="A126" s="4" t="s">
        <v>361</v>
      </c>
      <c r="B126" s="4" t="s">
        <v>360</v>
      </c>
      <c r="C126" s="2" t="str">
        <f>_xlfn.XLOOKUP(A:A,[1]Matriz!$E:$E,[1]Matriz!$BU:$BU)</f>
        <v>FASE 4 ACREDITADO CAEX 980E &amp; 930E</v>
      </c>
      <c r="D126" s="3">
        <f>_xlfn.XLOOKUP(A:A,[1]Matriz!$E:$E,[1]Matriz!$BW:$BW)</f>
        <v>46403</v>
      </c>
      <c r="E126" s="2" t="str">
        <f ca="1">_xlfn.XLOOKUP(A:A,[1]Matriz!$E:$E,[1]Matriz!$BY:$BY)</f>
        <v>VIGENTE</v>
      </c>
    </row>
    <row r="127" spans="1:5" hidden="1" x14ac:dyDescent="0.35">
      <c r="A127" s="4" t="s">
        <v>359</v>
      </c>
      <c r="B127" s="4" t="s">
        <v>358</v>
      </c>
      <c r="C127" s="2">
        <f>_xlfn.XLOOKUP(A:A,[1]Matriz!$E:$E,[1]Matriz!$BU:$BU)</f>
        <v>0</v>
      </c>
      <c r="D127" s="3">
        <f>_xlfn.XLOOKUP(A:A,[1]Matriz!$E:$E,[1]Matriz!$BW:$BW)</f>
        <v>0</v>
      </c>
      <c r="E127" s="2" t="str">
        <f ca="1">_xlfn.XLOOKUP(A:A,[1]Matriz!$E:$E,[1]Matriz!$BY:$BY)</f>
        <v>SIN CURSO</v>
      </c>
    </row>
    <row r="128" spans="1:5" hidden="1" x14ac:dyDescent="0.35">
      <c r="A128" s="11" t="s">
        <v>357</v>
      </c>
      <c r="B128" s="4" t="s">
        <v>356</v>
      </c>
      <c r="C128" s="2">
        <f>_xlfn.XLOOKUP(A:A,[1]Matriz!$E:$E,[1]Matriz!$BU:$BU)</f>
        <v>0</v>
      </c>
      <c r="D128" s="3">
        <f>_xlfn.XLOOKUP(A:A,[1]Matriz!$E:$E,[1]Matriz!$BW:$BW)</f>
        <v>0</v>
      </c>
      <c r="E128" s="2" t="str">
        <f ca="1">_xlfn.XLOOKUP(A:A,[1]Matriz!$E:$E,[1]Matriz!$BY:$BY)</f>
        <v>SIN CURSO</v>
      </c>
    </row>
    <row r="129" spans="1:5" hidden="1" x14ac:dyDescent="0.35">
      <c r="A129" s="4" t="s">
        <v>355</v>
      </c>
      <c r="B129" s="4" t="s">
        <v>354</v>
      </c>
      <c r="C129" s="2">
        <f>_xlfn.XLOOKUP(A:A,[1]Matriz!$E:$E,[1]Matriz!$BU:$BU)</f>
        <v>0</v>
      </c>
      <c r="D129" s="3">
        <f>_xlfn.XLOOKUP(A:A,[1]Matriz!$E:$E,[1]Matriz!$BW:$BW)</f>
        <v>0</v>
      </c>
      <c r="E129" s="2" t="str">
        <f ca="1">_xlfn.XLOOKUP(A:A,[1]Matriz!$E:$E,[1]Matriz!$BY:$BY)</f>
        <v>SIN CURSO</v>
      </c>
    </row>
    <row r="130" spans="1:5" hidden="1" x14ac:dyDescent="0.35">
      <c r="A130" s="4" t="s">
        <v>353</v>
      </c>
      <c r="B130" s="4" t="s">
        <v>352</v>
      </c>
      <c r="C130" s="2">
        <f>_xlfn.XLOOKUP(A:A,[1]Matriz!$E:$E,[1]Matriz!$BU:$BU)</f>
        <v>0</v>
      </c>
      <c r="D130" s="3">
        <f>_xlfn.XLOOKUP(A:A,[1]Matriz!$E:$E,[1]Matriz!$BW:$BW)</f>
        <v>0</v>
      </c>
      <c r="E130" s="2" t="str">
        <f ca="1">_xlfn.XLOOKUP(A:A,[1]Matriz!$E:$E,[1]Matriz!$BY:$BY)</f>
        <v>SIN CURSO</v>
      </c>
    </row>
    <row r="131" spans="1:5" hidden="1" x14ac:dyDescent="0.35">
      <c r="A131" s="4" t="s">
        <v>351</v>
      </c>
      <c r="B131" s="4" t="s">
        <v>350</v>
      </c>
      <c r="C131" s="2" t="str">
        <f>_xlfn.XLOOKUP(A:A,[1]Matriz!$E:$E,[1]Matriz!$BU:$BU)</f>
        <v>DIPLOMA VIGENTE HASTA 27-05-2026 ,PERO NO TIENE LICENCIA D</v>
      </c>
      <c r="D131" s="3">
        <f>_xlfn.XLOOKUP(A:A,[1]Matriz!$E:$E,[1]Matriz!$BW:$BW)</f>
        <v>46169</v>
      </c>
      <c r="E131" s="2" t="str">
        <f>_xlfn.XLOOKUP(A:A,[1]Matriz!$E:$E,[1]Matriz!$BY:$BY)</f>
        <v>SIN CURSO</v>
      </c>
    </row>
    <row r="132" spans="1:5" hidden="1" x14ac:dyDescent="0.35">
      <c r="A132" s="4" t="s">
        <v>349</v>
      </c>
      <c r="B132" s="4" t="s">
        <v>348</v>
      </c>
      <c r="C132" s="2">
        <f>_xlfn.XLOOKUP(A:A,[1]Matriz!$E:$E,[1]Matriz!$BU:$BU)</f>
        <v>0</v>
      </c>
      <c r="D132" s="3">
        <f>_xlfn.XLOOKUP(A:A,[1]Matriz!$E:$E,[1]Matriz!$BW:$BW)</f>
        <v>0</v>
      </c>
      <c r="E132" s="2" t="str">
        <f ca="1">_xlfn.XLOOKUP(A:A,[1]Matriz!$E:$E,[1]Matriz!$BY:$BY)</f>
        <v>SIN CURSO</v>
      </c>
    </row>
    <row r="133" spans="1:5" hidden="1" x14ac:dyDescent="0.35">
      <c r="A133" s="4" t="s">
        <v>347</v>
      </c>
      <c r="B133" s="4" t="s">
        <v>346</v>
      </c>
      <c r="C133" s="2" t="str">
        <f>_xlfn.XLOOKUP(A:A,[1]Matriz!$E:$E,[1]Matriz!$BU:$BU)</f>
        <v>CAL237477</v>
      </c>
      <c r="D133" s="3">
        <f>_xlfn.XLOOKUP(A:A,[1]Matriz!$E:$E,[1]Matriz!$BW:$BW)</f>
        <v>46863</v>
      </c>
      <c r="E133" s="2" t="str">
        <f ca="1">_xlfn.XLOOKUP(A:A,[1]Matriz!$E:$E,[1]Matriz!$BY:$BY)</f>
        <v>VIGENTE</v>
      </c>
    </row>
    <row r="134" spans="1:5" hidden="1" x14ac:dyDescent="0.35">
      <c r="A134" s="4" t="s">
        <v>345</v>
      </c>
      <c r="B134" s="4" t="s">
        <v>344</v>
      </c>
      <c r="C134" s="2">
        <f>_xlfn.XLOOKUP(A:A,[1]Matriz!$E:$E,[1]Matriz!$BU:$BU)</f>
        <v>0</v>
      </c>
      <c r="D134" s="3">
        <f>_xlfn.XLOOKUP(A:A,[1]Matriz!$E:$E,[1]Matriz!$BW:$BW)</f>
        <v>0</v>
      </c>
      <c r="E134" s="2" t="str">
        <f ca="1">_xlfn.XLOOKUP(A:A,[1]Matriz!$E:$E,[1]Matriz!$BY:$BY)</f>
        <v>SIN CURSO</v>
      </c>
    </row>
    <row r="135" spans="1:5" hidden="1" x14ac:dyDescent="0.35">
      <c r="A135" s="4" t="s">
        <v>343</v>
      </c>
      <c r="B135" s="4" t="s">
        <v>342</v>
      </c>
      <c r="C135" s="2">
        <f>_xlfn.XLOOKUP(A:A,[1]Matriz!$E:$E,[1]Matriz!$BU:$BU)</f>
        <v>0</v>
      </c>
      <c r="D135" s="3">
        <f>_xlfn.XLOOKUP(A:A,[1]Matriz!$E:$E,[1]Matriz!$BW:$BW)</f>
        <v>0</v>
      </c>
      <c r="E135" s="2" t="str">
        <f ca="1">_xlfn.XLOOKUP(A:A,[1]Matriz!$E:$E,[1]Matriz!$BY:$BY)</f>
        <v>SIN CURSO</v>
      </c>
    </row>
    <row r="136" spans="1:5" hidden="1" x14ac:dyDescent="0.35">
      <c r="A136" s="4" t="s">
        <v>341</v>
      </c>
      <c r="B136" s="4" t="s">
        <v>340</v>
      </c>
      <c r="C136" s="2">
        <f>_xlfn.XLOOKUP(A:A,[1]Matriz!$E:$E,[1]Matriz!$BU:$BU)</f>
        <v>0</v>
      </c>
      <c r="D136" s="3">
        <f>_xlfn.XLOOKUP(A:A,[1]Matriz!$E:$E,[1]Matriz!$BW:$BW)</f>
        <v>0</v>
      </c>
      <c r="E136" s="2" t="str">
        <f ca="1">_xlfn.XLOOKUP(A:A,[1]Matriz!$E:$E,[1]Matriz!$BY:$BY)</f>
        <v>SIN CURSO</v>
      </c>
    </row>
    <row r="137" spans="1:5" hidden="1" x14ac:dyDescent="0.35">
      <c r="A137" s="4" t="s">
        <v>339</v>
      </c>
      <c r="B137" s="4" t="s">
        <v>338</v>
      </c>
      <c r="C137" s="2">
        <f>_xlfn.XLOOKUP(A:A,[1]Matriz!$E:$E,[1]Matriz!$BU:$BU)</f>
        <v>0</v>
      </c>
      <c r="D137" s="3">
        <f>_xlfn.XLOOKUP(A:A,[1]Matriz!$E:$E,[1]Matriz!$BW:$BW)</f>
        <v>0</v>
      </c>
      <c r="E137" s="2" t="str">
        <f ca="1">_xlfn.XLOOKUP(A:A,[1]Matriz!$E:$E,[1]Matriz!$BY:$BY)</f>
        <v>SIN CURSO</v>
      </c>
    </row>
    <row r="138" spans="1:5" hidden="1" x14ac:dyDescent="0.35">
      <c r="A138" s="4" t="s">
        <v>337</v>
      </c>
      <c r="B138" s="4" t="s">
        <v>336</v>
      </c>
      <c r="C138" s="2">
        <f>_xlfn.XLOOKUP(A:A,[1]Matriz!$E:$E,[1]Matriz!$BU:$BU)</f>
        <v>0</v>
      </c>
      <c r="D138" s="3">
        <f>_xlfn.XLOOKUP(A:A,[1]Matriz!$E:$E,[1]Matriz!$BW:$BW)</f>
        <v>0</v>
      </c>
      <c r="E138" s="2" t="str">
        <f ca="1">_xlfn.XLOOKUP(A:A,[1]Matriz!$E:$E,[1]Matriz!$BY:$BY)</f>
        <v>SIN CURSO</v>
      </c>
    </row>
    <row r="139" spans="1:5" hidden="1" x14ac:dyDescent="0.35">
      <c r="A139" s="4" t="s">
        <v>335</v>
      </c>
      <c r="B139" s="4" t="s">
        <v>334</v>
      </c>
      <c r="C139" s="2">
        <f>_xlfn.XLOOKUP(A:A,[1]Matriz!$E:$E,[1]Matriz!$BU:$BU)</f>
        <v>0</v>
      </c>
      <c r="D139" s="3">
        <f>_xlfn.XLOOKUP(A:A,[1]Matriz!$E:$E,[1]Matriz!$BW:$BW)</f>
        <v>0</v>
      </c>
      <c r="E139" s="2" t="str">
        <f ca="1">_xlfn.XLOOKUP(A:A,[1]Matriz!$E:$E,[1]Matriz!$BY:$BY)</f>
        <v>SIN CURSO</v>
      </c>
    </row>
    <row r="140" spans="1:5" hidden="1" x14ac:dyDescent="0.35">
      <c r="A140" s="4" t="s">
        <v>333</v>
      </c>
      <c r="B140" s="4" t="s">
        <v>332</v>
      </c>
      <c r="C140" s="2">
        <f>_xlfn.XLOOKUP(A:A,[1]Matriz!$E:$E,[1]Matriz!$BU:$BU)</f>
        <v>0</v>
      </c>
      <c r="D140" s="3">
        <f>_xlfn.XLOOKUP(A:A,[1]Matriz!$E:$E,[1]Matriz!$BW:$BW)</f>
        <v>0</v>
      </c>
      <c r="E140" s="2" t="str">
        <f ca="1">_xlfn.XLOOKUP(A:A,[1]Matriz!$E:$E,[1]Matriz!$BY:$BY)</f>
        <v>SIN CURSO</v>
      </c>
    </row>
    <row r="141" spans="1:5" hidden="1" x14ac:dyDescent="0.35">
      <c r="A141" s="4" t="s">
        <v>331</v>
      </c>
      <c r="B141" s="4" t="s">
        <v>330</v>
      </c>
      <c r="C141" s="2">
        <f>_xlfn.XLOOKUP(A:A,[1]Matriz!$E:$E,[1]Matriz!$BU:$BU)</f>
        <v>0</v>
      </c>
      <c r="D141" s="3">
        <f>_xlfn.XLOOKUP(A:A,[1]Matriz!$E:$E,[1]Matriz!$BW:$BW)</f>
        <v>0</v>
      </c>
      <c r="E141" s="2" t="str">
        <f ca="1">_xlfn.XLOOKUP(A:A,[1]Matriz!$E:$E,[1]Matriz!$BY:$BY)</f>
        <v>SIN CURSO</v>
      </c>
    </row>
    <row r="142" spans="1:5" hidden="1" x14ac:dyDescent="0.35">
      <c r="A142" s="4" t="s">
        <v>329</v>
      </c>
      <c r="B142" s="4" t="s">
        <v>328</v>
      </c>
      <c r="C142" s="2" t="str">
        <f>_xlfn.XLOOKUP(A:A,[1]Matriz!$E:$E,[1]Matriz!$BU:$BU)</f>
        <v>FASE 1 MANIPULADOR CAEX 980E Y 930E</v>
      </c>
      <c r="D142" s="3">
        <f>_xlfn.XLOOKUP(A:A,[1]Matriz!$E:$E,[1]Matriz!$BW:$BW)</f>
        <v>45851</v>
      </c>
      <c r="E142" s="2" t="str">
        <f>_xlfn.XLOOKUP(A:A,[1]Matriz!$E:$E,[1]Matriz!$BY:$BY)</f>
        <v>SIN CURSO</v>
      </c>
    </row>
    <row r="143" spans="1:5" hidden="1" x14ac:dyDescent="0.35">
      <c r="A143" s="4" t="s">
        <v>327</v>
      </c>
      <c r="B143" s="4" t="s">
        <v>326</v>
      </c>
      <c r="C143" s="2">
        <f>_xlfn.XLOOKUP(A:A,[1]Matriz!$E:$E,[1]Matriz!$BU:$BU)</f>
        <v>0</v>
      </c>
      <c r="D143" s="3">
        <f>_xlfn.XLOOKUP(A:A,[1]Matriz!$E:$E,[1]Matriz!$BW:$BW)</f>
        <v>0</v>
      </c>
      <c r="E143" s="2" t="str">
        <f ca="1">_xlfn.XLOOKUP(A:A,[1]Matriz!$E:$E,[1]Matriz!$BY:$BY)</f>
        <v>SIN CURSO</v>
      </c>
    </row>
    <row r="144" spans="1:5" hidden="1" x14ac:dyDescent="0.35">
      <c r="A144" s="4" t="s">
        <v>325</v>
      </c>
      <c r="B144" s="4" t="s">
        <v>324</v>
      </c>
      <c r="C144" s="2" t="str">
        <f>_xlfn.XLOOKUP(A:A,[1]Matriz!$E:$E,[1]Matriz!$BU:$BU)</f>
        <v>FASE 4 ACREDITADO CAEX 980E &amp; 930E</v>
      </c>
      <c r="D144" s="3">
        <f>_xlfn.XLOOKUP(A:A,[1]Matriz!$E:$E,[1]Matriz!$BW:$BW)</f>
        <v>46403</v>
      </c>
      <c r="E144" s="2" t="str">
        <f ca="1">_xlfn.XLOOKUP(A:A,[1]Matriz!$E:$E,[1]Matriz!$BY:$BY)</f>
        <v>VIGENTE</v>
      </c>
    </row>
    <row r="145" spans="1:5" hidden="1" x14ac:dyDescent="0.35">
      <c r="A145" s="4" t="s">
        <v>323</v>
      </c>
      <c r="B145" s="4" t="s">
        <v>322</v>
      </c>
      <c r="C145" s="2" t="e">
        <f ca="1">_xlfn.XLOOKUP(A:A,[1]Matriz!$E:$E,[1]Matriz!$BU:$BU)</f>
        <v>#REF!</v>
      </c>
      <c r="D145" s="3">
        <f>_xlfn.XLOOKUP(A:A,[1]Matriz!$E:$E,[1]Matriz!$BW:$BW)</f>
        <v>0</v>
      </c>
      <c r="E145" s="2" t="str">
        <f ca="1">_xlfn.XLOOKUP(A:A,[1]Matriz!$E:$E,[1]Matriz!$BY:$BY)</f>
        <v>SIN CURSO</v>
      </c>
    </row>
    <row r="146" spans="1:5" hidden="1" x14ac:dyDescent="0.35">
      <c r="A146" s="4" t="s">
        <v>321</v>
      </c>
      <c r="B146" s="4" t="s">
        <v>320</v>
      </c>
      <c r="C146" s="2">
        <f>_xlfn.XLOOKUP(A:A,[1]Matriz!$E:$E,[1]Matriz!$BU:$BU)</f>
        <v>0</v>
      </c>
      <c r="D146" s="3">
        <f>_xlfn.XLOOKUP(A:A,[1]Matriz!$E:$E,[1]Matriz!$BW:$BW)</f>
        <v>0</v>
      </c>
      <c r="E146" s="2" t="str">
        <f ca="1">_xlfn.XLOOKUP(A:A,[1]Matriz!$E:$E,[1]Matriz!$BY:$BY)</f>
        <v>SIN CURSO</v>
      </c>
    </row>
    <row r="147" spans="1:5" hidden="1" x14ac:dyDescent="0.35">
      <c r="A147" s="4" t="s">
        <v>319</v>
      </c>
      <c r="B147" s="4" t="s">
        <v>318</v>
      </c>
      <c r="C147" s="2">
        <f>_xlfn.XLOOKUP(A:A,[1]Matriz!$E:$E,[1]Matriz!$BU:$BU)</f>
        <v>0</v>
      </c>
      <c r="D147" s="3">
        <f>_xlfn.XLOOKUP(A:A,[1]Matriz!$E:$E,[1]Matriz!$BW:$BW)</f>
        <v>0</v>
      </c>
      <c r="E147" s="2" t="str">
        <f ca="1">_xlfn.XLOOKUP(A:A,[1]Matriz!$E:$E,[1]Matriz!$BY:$BY)</f>
        <v>SIN CURSO</v>
      </c>
    </row>
    <row r="148" spans="1:5" hidden="1" x14ac:dyDescent="0.35">
      <c r="A148" s="4" t="s">
        <v>317</v>
      </c>
      <c r="B148" s="4" t="s">
        <v>316</v>
      </c>
      <c r="C148" s="2" t="str">
        <f>_xlfn.XLOOKUP(A:A,[1]Matriz!$E:$E,[1]Matriz!$BU:$BU)</f>
        <v>FASE 4 ACREDITADO CAEX 980E &amp; 930E</v>
      </c>
      <c r="D148" s="3">
        <f>_xlfn.XLOOKUP(A:A,[1]Matriz!$E:$E,[1]Matriz!$BW:$BW)</f>
        <v>46403</v>
      </c>
      <c r="E148" s="2" t="str">
        <f ca="1">_xlfn.XLOOKUP(A:A,[1]Matriz!$E:$E,[1]Matriz!$BY:$BY)</f>
        <v>VIGENTE</v>
      </c>
    </row>
    <row r="149" spans="1:5" hidden="1" x14ac:dyDescent="0.35">
      <c r="A149" s="4" t="s">
        <v>315</v>
      </c>
      <c r="B149" s="4" t="s">
        <v>314</v>
      </c>
      <c r="C149" s="2" t="str">
        <f>_xlfn.XLOOKUP(A:A,[1]Matriz!$E:$E,[1]Matriz!$BU:$BU)</f>
        <v>FASE 1 MANIPULADOR CAEX 980E Y 930E/SIN LICENCIA</v>
      </c>
      <c r="D149" s="3">
        <f>_xlfn.XLOOKUP(A:A,[1]Matriz!$E:$E,[1]Matriz!$BW:$BW)</f>
        <v>46403</v>
      </c>
      <c r="E149" s="2" t="str">
        <f ca="1">_xlfn.XLOOKUP(A:A,[1]Matriz!$E:$E,[1]Matriz!$BY:$BY)</f>
        <v>VIGENTE</v>
      </c>
    </row>
    <row r="150" spans="1:5" hidden="1" x14ac:dyDescent="0.35">
      <c r="A150" s="4" t="s">
        <v>313</v>
      </c>
      <c r="B150" s="4" t="s">
        <v>312</v>
      </c>
      <c r="C150" s="2" t="str">
        <f>_xlfn.XLOOKUP(A:A,[1]Matriz!$E:$E,[1]Matriz!$BU:$BU)</f>
        <v>FALTA PRACTICO (TEORICO 21-09-23)</v>
      </c>
      <c r="D150" s="3">
        <f>_xlfn.XLOOKUP(A:A,[1]Matriz!$E:$E,[1]Matriz!$BW:$BW)</f>
        <v>0</v>
      </c>
      <c r="E150" s="2" t="str">
        <f ca="1">_xlfn.XLOOKUP(A:A,[1]Matriz!$E:$E,[1]Matriz!$BY:$BY)</f>
        <v>SIN CURSO</v>
      </c>
    </row>
    <row r="151" spans="1:5" hidden="1" x14ac:dyDescent="0.35">
      <c r="A151" s="4" t="s">
        <v>311</v>
      </c>
      <c r="B151" s="4" t="s">
        <v>310</v>
      </c>
      <c r="C151" s="2">
        <f>_xlfn.XLOOKUP(A:A,[1]Matriz!$E:$E,[1]Matriz!$BU:$BU)</f>
        <v>0</v>
      </c>
      <c r="D151" s="3">
        <f>_xlfn.XLOOKUP(A:A,[1]Matriz!$E:$E,[1]Matriz!$BW:$BW)</f>
        <v>0</v>
      </c>
      <c r="E151" s="2" t="str">
        <f ca="1">_xlfn.XLOOKUP(A:A,[1]Matriz!$E:$E,[1]Matriz!$BY:$BY)</f>
        <v>SIN CURSO</v>
      </c>
    </row>
    <row r="152" spans="1:5" hidden="1" x14ac:dyDescent="0.35">
      <c r="A152" s="4" t="s">
        <v>309</v>
      </c>
      <c r="B152" s="4" t="s">
        <v>308</v>
      </c>
      <c r="C152" s="2">
        <f>_xlfn.XLOOKUP(A:A,[1]Matriz!$E:$E,[1]Matriz!$BU:$BU)</f>
        <v>0</v>
      </c>
      <c r="D152" s="3">
        <f>_xlfn.XLOOKUP(A:A,[1]Matriz!$E:$E,[1]Matriz!$BW:$BW)</f>
        <v>0</v>
      </c>
      <c r="E152" s="2" t="str">
        <f ca="1">_xlfn.XLOOKUP(A:A,[1]Matriz!$E:$E,[1]Matriz!$BY:$BY)</f>
        <v>SIN CURSO</v>
      </c>
    </row>
    <row r="153" spans="1:5" hidden="1" x14ac:dyDescent="0.35">
      <c r="A153" s="4" t="s">
        <v>307</v>
      </c>
      <c r="B153" s="4" t="s">
        <v>306</v>
      </c>
      <c r="C153" s="2" t="str">
        <f>_xlfn.XLOOKUP(A:A,[1]Matriz!$E:$E,[1]Matriz!$BU:$BU)</f>
        <v>FASE 4 ACREDITADO CAEX 980E &amp; 930E</v>
      </c>
      <c r="D153" s="3">
        <f>_xlfn.XLOOKUP(A:A,[1]Matriz!$E:$E,[1]Matriz!$BW:$BW)</f>
        <v>46410</v>
      </c>
      <c r="E153" s="2" t="str">
        <f ca="1">_xlfn.XLOOKUP(A:A,[1]Matriz!$E:$E,[1]Matriz!$BY:$BY)</f>
        <v>VIGENTE</v>
      </c>
    </row>
    <row r="154" spans="1:5" hidden="1" x14ac:dyDescent="0.35">
      <c r="A154" s="4" t="s">
        <v>305</v>
      </c>
      <c r="B154" s="12" t="s">
        <v>304</v>
      </c>
      <c r="C154" s="2" t="str">
        <f>_xlfn.XLOOKUP(A:A,[1]Matriz!$E:$E,[1]Matriz!$BU:$BU)</f>
        <v>FASE 1 MANIPULADOR CAEX 980E Y 930E</v>
      </c>
      <c r="D154" s="3">
        <f>_xlfn.XLOOKUP(A:A,[1]Matriz!$E:$E,[1]Matriz!$BW:$BW)</f>
        <v>46309</v>
      </c>
      <c r="E154" s="2" t="str">
        <f ca="1">_xlfn.XLOOKUP(A:A,[1]Matriz!$E:$E,[1]Matriz!$BY:$BY)</f>
        <v>VIGENTE</v>
      </c>
    </row>
    <row r="155" spans="1:5" hidden="1" x14ac:dyDescent="0.35">
      <c r="A155" s="11" t="s">
        <v>303</v>
      </c>
      <c r="B155" s="13" t="s">
        <v>302</v>
      </c>
      <c r="C155" s="2">
        <f>_xlfn.XLOOKUP(A:A,[1]Matriz!$E:$E,[1]Matriz!$BU:$BU)</f>
        <v>0</v>
      </c>
      <c r="D155" s="3">
        <f>_xlfn.XLOOKUP(A:A,[1]Matriz!$E:$E,[1]Matriz!$BW:$BW)</f>
        <v>0</v>
      </c>
      <c r="E155" s="2" t="str">
        <f ca="1">_xlfn.XLOOKUP(A:A,[1]Matriz!$E:$E,[1]Matriz!$BY:$BY)</f>
        <v>SIN CURSO</v>
      </c>
    </row>
    <row r="156" spans="1:5" hidden="1" x14ac:dyDescent="0.35">
      <c r="A156" s="4" t="s">
        <v>301</v>
      </c>
      <c r="B156" s="4" t="s">
        <v>300</v>
      </c>
      <c r="C156" s="2" t="str">
        <f>_xlfn.XLOOKUP(A:A,[1]Matriz!$E:$E,[1]Matriz!$BU:$BU)</f>
        <v>FASE 1 MANIPULADOR CAEX 980E Y 930E</v>
      </c>
      <c r="D156" s="3">
        <f>_xlfn.XLOOKUP(A:A,[1]Matriz!$E:$E,[1]Matriz!$BW:$BW)</f>
        <v>46081</v>
      </c>
      <c r="E156" s="2" t="str">
        <f ca="1">_xlfn.XLOOKUP(A:A,[1]Matriz!$E:$E,[1]Matriz!$BY:$BY)</f>
        <v>VENCIDO</v>
      </c>
    </row>
    <row r="157" spans="1:5" hidden="1" x14ac:dyDescent="0.35">
      <c r="A157" s="4" t="s">
        <v>299</v>
      </c>
      <c r="B157" s="4" t="s">
        <v>298</v>
      </c>
      <c r="C157" s="2">
        <f>_xlfn.XLOOKUP(A:A,[1]Matriz!$E:$E,[1]Matriz!$BU:$BU)</f>
        <v>0</v>
      </c>
      <c r="D157" s="3">
        <f>_xlfn.XLOOKUP(A:A,[1]Matriz!$E:$E,[1]Matriz!$BW:$BW)</f>
        <v>0</v>
      </c>
      <c r="E157" s="2" t="str">
        <f ca="1">_xlfn.XLOOKUP(A:A,[1]Matriz!$E:$E,[1]Matriz!$BY:$BY)</f>
        <v>SIN CURSO</v>
      </c>
    </row>
    <row r="158" spans="1:5" hidden="1" x14ac:dyDescent="0.35">
      <c r="A158" s="4" t="s">
        <v>297</v>
      </c>
      <c r="B158" s="4" t="s">
        <v>296</v>
      </c>
      <c r="C158" s="2">
        <f>_xlfn.XLOOKUP(A:A,[1]Matriz!$E:$E,[1]Matriz!$BU:$BU)</f>
        <v>0</v>
      </c>
      <c r="D158" s="3">
        <f>_xlfn.XLOOKUP(A:A,[1]Matriz!$E:$E,[1]Matriz!$BW:$BW)</f>
        <v>0</v>
      </c>
      <c r="E158" s="2" t="str">
        <f ca="1">_xlfn.XLOOKUP(A:A,[1]Matriz!$E:$E,[1]Matriz!$BY:$BY)</f>
        <v>SIN CURSO</v>
      </c>
    </row>
    <row r="159" spans="1:5" hidden="1" x14ac:dyDescent="0.35">
      <c r="A159" s="4" t="s">
        <v>295</v>
      </c>
      <c r="B159" s="4" t="s">
        <v>294</v>
      </c>
      <c r="C159" s="2" t="str">
        <f>_xlfn.XLOOKUP(A:A,[1]Matriz!$E:$E,[1]Matriz!$BU:$BU)</f>
        <v>FASE 4 ACREDITADO CAEX 980E &amp; 930E</v>
      </c>
      <c r="D159" s="3">
        <f>_xlfn.XLOOKUP(A:A,[1]Matriz!$E:$E,[1]Matriz!$BW:$BW)</f>
        <v>46410</v>
      </c>
      <c r="E159" s="2" t="str">
        <f ca="1">_xlfn.XLOOKUP(A:A,[1]Matriz!$E:$E,[1]Matriz!$BY:$BY)</f>
        <v>VIGENTE</v>
      </c>
    </row>
    <row r="160" spans="1:5" hidden="1" x14ac:dyDescent="0.35">
      <c r="A160" s="4" t="s">
        <v>293</v>
      </c>
      <c r="B160" s="4" t="s">
        <v>292</v>
      </c>
      <c r="C160" s="2">
        <f>_xlfn.XLOOKUP(A:A,[1]Matriz!$E:$E,[1]Matriz!$BU:$BU)</f>
        <v>0</v>
      </c>
      <c r="D160" s="3">
        <f>_xlfn.XLOOKUP(A:A,[1]Matriz!$E:$E,[1]Matriz!$BW:$BW)</f>
        <v>0</v>
      </c>
      <c r="E160" s="2" t="str">
        <f ca="1">_xlfn.XLOOKUP(A:A,[1]Matriz!$E:$E,[1]Matriz!$BY:$BY)</f>
        <v>SIN CURSO</v>
      </c>
    </row>
    <row r="161" spans="1:5" hidden="1" x14ac:dyDescent="0.35">
      <c r="A161" s="4" t="s">
        <v>291</v>
      </c>
      <c r="B161" s="4" t="s">
        <v>290</v>
      </c>
      <c r="C161" s="2">
        <f>_xlfn.XLOOKUP(A:A,[1]Matriz!$E:$E,[1]Matriz!$BU:$BU)</f>
        <v>0</v>
      </c>
      <c r="D161" s="3">
        <f>_xlfn.XLOOKUP(A:A,[1]Matriz!$E:$E,[1]Matriz!$BW:$BW)</f>
        <v>0</v>
      </c>
      <c r="E161" s="2" t="str">
        <f ca="1">_xlfn.XLOOKUP(A:A,[1]Matriz!$E:$E,[1]Matriz!$BY:$BY)</f>
        <v>SIN CURSO</v>
      </c>
    </row>
    <row r="162" spans="1:5" hidden="1" x14ac:dyDescent="0.35">
      <c r="A162" s="4" t="s">
        <v>289</v>
      </c>
      <c r="B162" s="4" t="s">
        <v>288</v>
      </c>
      <c r="C162" s="2" t="str">
        <f>_xlfn.XLOOKUP(A:A,[1]Matriz!$E:$E,[1]Matriz!$BU:$BU)</f>
        <v>FALTA PRACTICO (TEORICO 21-09-23)</v>
      </c>
      <c r="D162" s="3">
        <f>_xlfn.XLOOKUP(A:A,[1]Matriz!$E:$E,[1]Matriz!$BW:$BW)</f>
        <v>0</v>
      </c>
      <c r="E162" s="2" t="str">
        <f>_xlfn.XLOOKUP(A:A,[1]Matriz!$E:$E,[1]Matriz!$BY:$BY)</f>
        <v>SIN CURSO</v>
      </c>
    </row>
    <row r="163" spans="1:5" hidden="1" x14ac:dyDescent="0.35">
      <c r="A163" s="4" t="s">
        <v>287</v>
      </c>
      <c r="B163" s="4" t="s">
        <v>286</v>
      </c>
      <c r="C163" s="2">
        <f>_xlfn.XLOOKUP(A:A,[1]Matriz!$E:$E,[1]Matriz!$BU:$BU)</f>
        <v>0</v>
      </c>
      <c r="D163" s="3">
        <f>_xlfn.XLOOKUP(A:A,[1]Matriz!$E:$E,[1]Matriz!$BW:$BW)</f>
        <v>0</v>
      </c>
      <c r="E163" s="2" t="str">
        <f ca="1">_xlfn.XLOOKUP(A:A,[1]Matriz!$E:$E,[1]Matriz!$BY:$BY)</f>
        <v>SIN CURSO</v>
      </c>
    </row>
    <row r="164" spans="1:5" hidden="1" x14ac:dyDescent="0.35">
      <c r="A164" s="4" t="s">
        <v>285</v>
      </c>
      <c r="B164" s="4" t="s">
        <v>284</v>
      </c>
      <c r="C164" s="2" t="str">
        <f>_xlfn.XLOOKUP(A:A,[1]Matriz!$E:$E,[1]Matriz!$BU:$BU)</f>
        <v>FASE 1 MANIPULADOR CAEX 980E Y 930E/SIN LICENCIA</v>
      </c>
      <c r="D164" s="3">
        <f>_xlfn.XLOOKUP(A:A,[1]Matriz!$E:$E,[1]Matriz!$BW:$BW)</f>
        <v>46309</v>
      </c>
      <c r="E164" s="2" t="str">
        <f ca="1">_xlfn.XLOOKUP(A:A,[1]Matriz!$E:$E,[1]Matriz!$BY:$BY)</f>
        <v>VIGENTE</v>
      </c>
    </row>
    <row r="165" spans="1:5" hidden="1" x14ac:dyDescent="0.35">
      <c r="A165" s="4" t="s">
        <v>283</v>
      </c>
      <c r="B165" s="4" t="s">
        <v>282</v>
      </c>
      <c r="C165" s="2">
        <f>_xlfn.XLOOKUP(A:A,[1]Matriz!$E:$E,[1]Matriz!$BU:$BU)</f>
        <v>0</v>
      </c>
      <c r="D165" s="3">
        <f>_xlfn.XLOOKUP(A:A,[1]Matriz!$E:$E,[1]Matriz!$BW:$BW)</f>
        <v>0</v>
      </c>
      <c r="E165" s="2" t="str">
        <f ca="1">_xlfn.XLOOKUP(A:A,[1]Matriz!$E:$E,[1]Matriz!$BY:$BY)</f>
        <v>SIN CURSO</v>
      </c>
    </row>
    <row r="166" spans="1:5" hidden="1" x14ac:dyDescent="0.35">
      <c r="A166" s="11" t="s">
        <v>281</v>
      </c>
      <c r="B166" s="4" t="s">
        <v>280</v>
      </c>
      <c r="C166" s="2">
        <f>_xlfn.XLOOKUP(A:A,[1]Matriz!$E:$E,[1]Matriz!$BU:$BU)</f>
        <v>0</v>
      </c>
      <c r="D166" s="3">
        <f>_xlfn.XLOOKUP(A:A,[1]Matriz!$E:$E,[1]Matriz!$BW:$BW)</f>
        <v>0</v>
      </c>
      <c r="E166" s="2" t="str">
        <f ca="1">_xlfn.XLOOKUP(A:A,[1]Matriz!$E:$E,[1]Matriz!$BY:$BY)</f>
        <v>SIN CURSO</v>
      </c>
    </row>
    <row r="167" spans="1:5" hidden="1" x14ac:dyDescent="0.35">
      <c r="A167" s="4" t="s">
        <v>279</v>
      </c>
      <c r="B167" s="4" t="s">
        <v>278</v>
      </c>
      <c r="C167" s="2" t="str">
        <f>_xlfn.XLOOKUP(A:A,[1]Matriz!$E:$E,[1]Matriz!$BU:$BU)</f>
        <v>FASE 1 MANIPULADOR CAEX 980E Y 930E</v>
      </c>
      <c r="D167" s="3">
        <f>_xlfn.XLOOKUP(A:A,[1]Matriz!$E:$E,[1]Matriz!$BW:$BW)</f>
        <v>46309</v>
      </c>
      <c r="E167" s="2" t="str">
        <f ca="1">_xlfn.XLOOKUP(A:A,[1]Matriz!$E:$E,[1]Matriz!$BY:$BY)</f>
        <v>VIGENTE</v>
      </c>
    </row>
    <row r="168" spans="1:5" hidden="1" x14ac:dyDescent="0.35">
      <c r="A168" s="4" t="s">
        <v>277</v>
      </c>
      <c r="B168" s="4" t="s">
        <v>276</v>
      </c>
      <c r="C168" s="2">
        <f>_xlfn.XLOOKUP(A:A,[1]Matriz!$E:$E,[1]Matriz!$BU:$BU)</f>
        <v>0</v>
      </c>
      <c r="D168" s="3">
        <f>_xlfn.XLOOKUP(A:A,[1]Matriz!$E:$E,[1]Matriz!$BW:$BW)</f>
        <v>0</v>
      </c>
      <c r="E168" s="2" t="str">
        <f ca="1">_xlfn.XLOOKUP(A:A,[1]Matriz!$E:$E,[1]Matriz!$BY:$BY)</f>
        <v>SIN CURSO</v>
      </c>
    </row>
    <row r="169" spans="1:5" hidden="1" x14ac:dyDescent="0.35">
      <c r="A169" s="4" t="s">
        <v>275</v>
      </c>
      <c r="B169" s="4" t="s">
        <v>274</v>
      </c>
      <c r="C169" s="2">
        <f>_xlfn.XLOOKUP(A:A,[1]Matriz!$E:$E,[1]Matriz!$BU:$BU)</f>
        <v>0</v>
      </c>
      <c r="D169" s="3">
        <f>_xlfn.XLOOKUP(A:A,[1]Matriz!$E:$E,[1]Matriz!$BW:$BW)</f>
        <v>0</v>
      </c>
      <c r="E169" s="2" t="str">
        <f ca="1">_xlfn.XLOOKUP(A:A,[1]Matriz!$E:$E,[1]Matriz!$BY:$BY)</f>
        <v>SIN CURSO</v>
      </c>
    </row>
    <row r="170" spans="1:5" hidden="1" x14ac:dyDescent="0.35">
      <c r="A170" s="4" t="s">
        <v>273</v>
      </c>
      <c r="B170" s="4" t="s">
        <v>272</v>
      </c>
      <c r="C170" s="2" t="str">
        <f>_xlfn.XLOOKUP(A:A,[1]Matriz!$E:$E,[1]Matriz!$BU:$BU)</f>
        <v>CAL237477</v>
      </c>
      <c r="D170" s="3">
        <f>_xlfn.XLOOKUP(A:A,[1]Matriz!$E:$E,[1]Matriz!$BW:$BW)</f>
        <v>46863</v>
      </c>
      <c r="E170" s="2" t="str">
        <f ca="1">_xlfn.XLOOKUP(A:A,[1]Matriz!$E:$E,[1]Matriz!$BY:$BY)</f>
        <v>VIGENTE</v>
      </c>
    </row>
    <row r="171" spans="1:5" hidden="1" x14ac:dyDescent="0.35">
      <c r="A171" s="11" t="s">
        <v>271</v>
      </c>
      <c r="B171" s="4" t="s">
        <v>270</v>
      </c>
      <c r="C171" s="2">
        <f>_xlfn.XLOOKUP(A:A,[1]Matriz!$E:$E,[1]Matriz!$BU:$BU)</f>
        <v>0</v>
      </c>
      <c r="D171" s="3">
        <f>_xlfn.XLOOKUP(A:A,[1]Matriz!$E:$E,[1]Matriz!$BW:$BW)</f>
        <v>0</v>
      </c>
      <c r="E171" s="2" t="str">
        <f ca="1">_xlfn.XLOOKUP(A:A,[1]Matriz!$E:$E,[1]Matriz!$BY:$BY)</f>
        <v>SIN CURSO</v>
      </c>
    </row>
    <row r="172" spans="1:5" hidden="1" x14ac:dyDescent="0.35">
      <c r="A172" s="4" t="s">
        <v>269</v>
      </c>
      <c r="B172" s="4" t="s">
        <v>268</v>
      </c>
      <c r="C172" s="2">
        <f>_xlfn.XLOOKUP(A:A,[1]Matriz!$E:$E,[1]Matriz!$BU:$BU)</f>
        <v>0</v>
      </c>
      <c r="D172" s="3">
        <f>_xlfn.XLOOKUP(A:A,[1]Matriz!$E:$E,[1]Matriz!$BW:$BW)</f>
        <v>0</v>
      </c>
      <c r="E172" s="2" t="str">
        <f ca="1">_xlfn.XLOOKUP(A:A,[1]Matriz!$E:$E,[1]Matriz!$BY:$BY)</f>
        <v>SIN CURSO</v>
      </c>
    </row>
    <row r="173" spans="1:5" hidden="1" x14ac:dyDescent="0.35">
      <c r="A173" s="4" t="s">
        <v>267</v>
      </c>
      <c r="B173" s="4" t="s">
        <v>266</v>
      </c>
      <c r="C173" s="2">
        <f>_xlfn.XLOOKUP(A:A,[1]Matriz!$E:$E,[1]Matriz!$BU:$BU)</f>
        <v>0</v>
      </c>
      <c r="D173" s="3">
        <f>_xlfn.XLOOKUP(A:A,[1]Matriz!$E:$E,[1]Matriz!$BW:$BW)</f>
        <v>0</v>
      </c>
      <c r="E173" s="2" t="str">
        <f ca="1">_xlfn.XLOOKUP(A:A,[1]Matriz!$E:$E,[1]Matriz!$BY:$BY)</f>
        <v>SIN CURSO</v>
      </c>
    </row>
    <row r="174" spans="1:5" hidden="1" x14ac:dyDescent="0.35">
      <c r="A174" s="4" t="s">
        <v>265</v>
      </c>
      <c r="B174" s="4" t="s">
        <v>264</v>
      </c>
      <c r="C174" s="2">
        <f>_xlfn.XLOOKUP(A:A,[1]Matriz!$E:$E,[1]Matriz!$BU:$BU)</f>
        <v>0</v>
      </c>
      <c r="D174" s="3">
        <f>_xlfn.XLOOKUP(A:A,[1]Matriz!$E:$E,[1]Matriz!$BW:$BW)</f>
        <v>0</v>
      </c>
      <c r="E174" s="2" t="str">
        <f ca="1">_xlfn.XLOOKUP(A:A,[1]Matriz!$E:$E,[1]Matriz!$BY:$BY)</f>
        <v>SIN CURSO</v>
      </c>
    </row>
    <row r="175" spans="1:5" hidden="1" x14ac:dyDescent="0.35">
      <c r="A175" s="4" t="s">
        <v>263</v>
      </c>
      <c r="B175" s="4" t="s">
        <v>262</v>
      </c>
      <c r="C175" s="2">
        <f>_xlfn.XLOOKUP(A:A,[1]Matriz!$E:$E,[1]Matriz!$BU:$BU)</f>
        <v>0</v>
      </c>
      <c r="D175" s="3">
        <f>_xlfn.XLOOKUP(A:A,[1]Matriz!$E:$E,[1]Matriz!$BW:$BW)</f>
        <v>0</v>
      </c>
      <c r="E175" s="2" t="str">
        <f>_xlfn.XLOOKUP(A:A,[1]Matriz!$E:$E,[1]Matriz!$BY:$BY)</f>
        <v>SIN CURSO</v>
      </c>
    </row>
    <row r="176" spans="1:5" hidden="1" x14ac:dyDescent="0.35">
      <c r="A176" s="4" t="s">
        <v>261</v>
      </c>
      <c r="B176" s="4" t="s">
        <v>260</v>
      </c>
      <c r="C176" s="2">
        <f>_xlfn.XLOOKUP(A:A,[1]Matriz!$E:$E,[1]Matriz!$BU:$BU)</f>
        <v>0</v>
      </c>
      <c r="D176" s="3">
        <f>_xlfn.XLOOKUP(A:A,[1]Matriz!$E:$E,[1]Matriz!$BW:$BW)</f>
        <v>0</v>
      </c>
      <c r="E176" s="2" t="str">
        <f>_xlfn.XLOOKUP(A:A,[1]Matriz!$E:$E,[1]Matriz!$BY:$BY)</f>
        <v>GESTIONAR</v>
      </c>
    </row>
    <row r="177" spans="1:5" hidden="1" x14ac:dyDescent="0.35">
      <c r="A177" s="4" t="s">
        <v>259</v>
      </c>
      <c r="B177" s="4" t="s">
        <v>258</v>
      </c>
      <c r="C177" s="2">
        <f>_xlfn.XLOOKUP(A:A,[1]Matriz!$E:$E,[1]Matriz!$BU:$BU)</f>
        <v>0</v>
      </c>
      <c r="D177" s="3">
        <f>_xlfn.XLOOKUP(A:A,[1]Matriz!$E:$E,[1]Matriz!$BW:$BW)</f>
        <v>0</v>
      </c>
      <c r="E177" s="2" t="str">
        <f>_xlfn.XLOOKUP(A:A,[1]Matriz!$E:$E,[1]Matriz!$BY:$BY)</f>
        <v>GESTIONAR</v>
      </c>
    </row>
    <row r="178" spans="1:5" hidden="1" x14ac:dyDescent="0.35">
      <c r="A178" s="4" t="s">
        <v>257</v>
      </c>
      <c r="B178" s="4" t="s">
        <v>256</v>
      </c>
      <c r="C178" s="2">
        <f>_xlfn.XLOOKUP(A:A,[1]Matriz!$E:$E,[1]Matriz!$BU:$BU)</f>
        <v>0</v>
      </c>
      <c r="D178" s="3">
        <f>_xlfn.XLOOKUP(A:A,[1]Matriz!$E:$E,[1]Matriz!$BW:$BW)</f>
        <v>0</v>
      </c>
      <c r="E178" s="2" t="str">
        <f ca="1">_xlfn.XLOOKUP(A:A,[1]Matriz!$E:$E,[1]Matriz!$BY:$BY)</f>
        <v>SIN CURSO</v>
      </c>
    </row>
    <row r="179" spans="1:5" hidden="1" x14ac:dyDescent="0.35">
      <c r="A179" s="4" t="s">
        <v>255</v>
      </c>
      <c r="B179" s="4" t="s">
        <v>254</v>
      </c>
      <c r="C179" s="2">
        <f>_xlfn.XLOOKUP(A:A,[1]Matriz!$E:$E,[1]Matriz!$BU:$BU)</f>
        <v>0</v>
      </c>
      <c r="D179" s="3">
        <f>_xlfn.XLOOKUP(A:A,[1]Matriz!$E:$E,[1]Matriz!$BW:$BW)</f>
        <v>0</v>
      </c>
      <c r="E179" s="2" t="str">
        <f ca="1">_xlfn.XLOOKUP(A:A,[1]Matriz!$E:$E,[1]Matriz!$BY:$BY)</f>
        <v>SIN CURSO</v>
      </c>
    </row>
    <row r="180" spans="1:5" hidden="1" x14ac:dyDescent="0.35">
      <c r="A180" s="4" t="s">
        <v>253</v>
      </c>
      <c r="B180" s="4" t="s">
        <v>252</v>
      </c>
      <c r="C180" s="2">
        <f>_xlfn.XLOOKUP(A:A,[1]Matriz!$E:$E,[1]Matriz!$BU:$BU)</f>
        <v>0</v>
      </c>
      <c r="D180" s="3">
        <f>_xlfn.XLOOKUP(A:A,[1]Matriz!$E:$E,[1]Matriz!$BW:$BW)</f>
        <v>0</v>
      </c>
      <c r="E180" s="2" t="str">
        <f ca="1">_xlfn.XLOOKUP(A:A,[1]Matriz!$E:$E,[1]Matriz!$BY:$BY)</f>
        <v>SIN CURSO</v>
      </c>
    </row>
    <row r="181" spans="1:5" hidden="1" x14ac:dyDescent="0.35">
      <c r="A181" s="4" t="s">
        <v>251</v>
      </c>
      <c r="B181" s="4" t="s">
        <v>250</v>
      </c>
      <c r="C181" s="2">
        <f>_xlfn.XLOOKUP(A:A,[1]Matriz!$E:$E,[1]Matriz!$BU:$BU)</f>
        <v>0</v>
      </c>
      <c r="D181" s="3">
        <f>_xlfn.XLOOKUP(A:A,[1]Matriz!$E:$E,[1]Matriz!$BW:$BW)</f>
        <v>0</v>
      </c>
      <c r="E181" s="2" t="str">
        <f ca="1">_xlfn.XLOOKUP(A:A,[1]Matriz!$E:$E,[1]Matriz!$BY:$BY)</f>
        <v>SIN CURSO</v>
      </c>
    </row>
    <row r="182" spans="1:5" hidden="1" x14ac:dyDescent="0.35">
      <c r="A182" s="4" t="s">
        <v>249</v>
      </c>
      <c r="B182" s="4" t="s">
        <v>248</v>
      </c>
      <c r="C182" s="2">
        <f>_xlfn.XLOOKUP(A:A,[1]Matriz!$E:$E,[1]Matriz!$BU:$BU)</f>
        <v>0</v>
      </c>
      <c r="D182" s="3">
        <f>_xlfn.XLOOKUP(A:A,[1]Matriz!$E:$E,[1]Matriz!$BW:$BW)</f>
        <v>0</v>
      </c>
      <c r="E182" s="2" t="str">
        <f ca="1">_xlfn.XLOOKUP(A:A,[1]Matriz!$E:$E,[1]Matriz!$BY:$BY)</f>
        <v>SIN CURSO</v>
      </c>
    </row>
    <row r="183" spans="1:5" hidden="1" x14ac:dyDescent="0.35">
      <c r="A183" s="4" t="s">
        <v>247</v>
      </c>
      <c r="B183" s="4" t="s">
        <v>246</v>
      </c>
      <c r="C183" s="2">
        <f>_xlfn.XLOOKUP(A:A,[1]Matriz!$E:$E,[1]Matriz!$BU:$BU)</f>
        <v>0</v>
      </c>
      <c r="D183" s="3">
        <f>_xlfn.XLOOKUP(A:A,[1]Matriz!$E:$E,[1]Matriz!$BW:$BW)</f>
        <v>0</v>
      </c>
      <c r="E183" s="2" t="str">
        <f ca="1">_xlfn.XLOOKUP(A:A,[1]Matriz!$E:$E,[1]Matriz!$BY:$BY)</f>
        <v>SIN CURSO</v>
      </c>
    </row>
    <row r="184" spans="1:5" hidden="1" x14ac:dyDescent="0.35">
      <c r="A184" s="4" t="s">
        <v>245</v>
      </c>
      <c r="B184" s="4" t="s">
        <v>244</v>
      </c>
      <c r="C184" s="2" t="str">
        <f>_xlfn.XLOOKUP(A:A,[1]Matriz!$E:$E,[1]Matriz!$BU:$BU)</f>
        <v>FASE 1 MANIPULADOR CAEX 980E Y 930E</v>
      </c>
      <c r="D184" s="3">
        <f>_xlfn.XLOOKUP(A:A,[1]Matriz!$E:$E,[1]Matriz!$BW:$BW)</f>
        <v>46309</v>
      </c>
      <c r="E184" s="2" t="str">
        <f ca="1">_xlfn.XLOOKUP(A:A,[1]Matriz!$E:$E,[1]Matriz!$BY:$BY)</f>
        <v>VIGENTE</v>
      </c>
    </row>
    <row r="185" spans="1:5" hidden="1" x14ac:dyDescent="0.35">
      <c r="A185" s="4" t="s">
        <v>243</v>
      </c>
      <c r="B185" s="4" t="s">
        <v>242</v>
      </c>
      <c r="C185" s="2">
        <f>_xlfn.XLOOKUP(A:A,[1]Matriz!$E:$E,[1]Matriz!$BU:$BU)</f>
        <v>0</v>
      </c>
      <c r="D185" s="3">
        <f>_xlfn.XLOOKUP(A:A,[1]Matriz!$E:$E,[1]Matriz!$BW:$BW)</f>
        <v>0</v>
      </c>
      <c r="E185" s="2" t="str">
        <f ca="1">_xlfn.XLOOKUP(A:A,[1]Matriz!$E:$E,[1]Matriz!$BY:$BY)</f>
        <v>SIN CURSO</v>
      </c>
    </row>
    <row r="186" spans="1:5" hidden="1" x14ac:dyDescent="0.35">
      <c r="A186" s="4" t="s">
        <v>241</v>
      </c>
      <c r="B186" s="4" t="s">
        <v>240</v>
      </c>
      <c r="C186" s="2" t="str">
        <f>_xlfn.XLOOKUP(A:A,[1]Matriz!$E:$E,[1]Matriz!$BU:$BU)</f>
        <v>FASE 1 MANIPULADOR CAEX 980E Y 930E</v>
      </c>
      <c r="D186" s="3">
        <f>_xlfn.XLOOKUP(A:A,[1]Matriz!$E:$E,[1]Matriz!$BW:$BW)</f>
        <v>46438</v>
      </c>
      <c r="E186" s="2" t="str">
        <f ca="1">_xlfn.XLOOKUP(A:A,[1]Matriz!$E:$E,[1]Matriz!$BY:$BY)</f>
        <v>VIGENTE</v>
      </c>
    </row>
    <row r="187" spans="1:5" hidden="1" x14ac:dyDescent="0.35">
      <c r="A187" s="4" t="s">
        <v>239</v>
      </c>
      <c r="B187" s="4" t="s">
        <v>238</v>
      </c>
      <c r="C187" s="2" t="e">
        <f ca="1">_xlfn.XLOOKUP(A:A,[1]Matriz!$E:$E,[1]Matriz!$BU:$BU)</f>
        <v>#REF!</v>
      </c>
      <c r="D187" s="3">
        <f>_xlfn.XLOOKUP(A:A,[1]Matriz!$E:$E,[1]Matriz!$BW:$BW)</f>
        <v>0</v>
      </c>
      <c r="E187" s="2" t="str">
        <f>_xlfn.XLOOKUP(A:A,[1]Matriz!$E:$E,[1]Matriz!$BY:$BY)</f>
        <v>SIN CURSO</v>
      </c>
    </row>
    <row r="188" spans="1:5" hidden="1" x14ac:dyDescent="0.35">
      <c r="A188" s="4" t="s">
        <v>237</v>
      </c>
      <c r="B188" s="4" t="s">
        <v>236</v>
      </c>
      <c r="C188" s="2">
        <f>_xlfn.XLOOKUP(A:A,[1]Matriz!$E:$E,[1]Matriz!$BU:$BU)</f>
        <v>0</v>
      </c>
      <c r="D188" s="3">
        <f>_xlfn.XLOOKUP(A:A,[1]Matriz!$E:$E,[1]Matriz!$BW:$BW)</f>
        <v>0</v>
      </c>
      <c r="E188" s="2" t="str">
        <f ca="1">_xlfn.XLOOKUP(A:A,[1]Matriz!$E:$E,[1]Matriz!$BY:$BY)</f>
        <v>SIN CURSO</v>
      </c>
    </row>
    <row r="189" spans="1:5" hidden="1" x14ac:dyDescent="0.35">
      <c r="A189" s="4" t="s">
        <v>235</v>
      </c>
      <c r="B189" s="4" t="s">
        <v>234</v>
      </c>
      <c r="C189" s="2">
        <f>_xlfn.XLOOKUP(A:A,[1]Matriz!$E:$E,[1]Matriz!$BU:$BU)</f>
        <v>0</v>
      </c>
      <c r="D189" s="3">
        <f>_xlfn.XLOOKUP(A:A,[1]Matriz!$E:$E,[1]Matriz!$BW:$BW)</f>
        <v>0</v>
      </c>
      <c r="E189" s="2" t="str">
        <f ca="1">_xlfn.XLOOKUP(A:A,[1]Matriz!$E:$E,[1]Matriz!$BY:$BY)</f>
        <v>SIN CURSO</v>
      </c>
    </row>
    <row r="190" spans="1:5" hidden="1" x14ac:dyDescent="0.35">
      <c r="A190" s="4" t="s">
        <v>233</v>
      </c>
      <c r="B190" s="4" t="s">
        <v>232</v>
      </c>
      <c r="C190" s="2">
        <f>_xlfn.XLOOKUP(A:A,[1]Matriz!$E:$E,[1]Matriz!$BU:$BU)</f>
        <v>0</v>
      </c>
      <c r="D190" s="3">
        <f>_xlfn.XLOOKUP(A:A,[1]Matriz!$E:$E,[1]Matriz!$BW:$BW)</f>
        <v>0</v>
      </c>
      <c r="E190" s="2" t="str">
        <f ca="1">_xlfn.XLOOKUP(A:A,[1]Matriz!$E:$E,[1]Matriz!$BY:$BY)</f>
        <v>SIN CURSO</v>
      </c>
    </row>
    <row r="191" spans="1:5" hidden="1" x14ac:dyDescent="0.35">
      <c r="A191" s="4" t="s">
        <v>231</v>
      </c>
      <c r="B191" s="4" t="s">
        <v>230</v>
      </c>
      <c r="C191" s="2">
        <f>_xlfn.XLOOKUP(A:A,[1]Matriz!$E:$E,[1]Matriz!$BU:$BU)</f>
        <v>0</v>
      </c>
      <c r="D191" s="3">
        <f>_xlfn.XLOOKUP(A:A,[1]Matriz!$E:$E,[1]Matriz!$BW:$BW)</f>
        <v>0</v>
      </c>
      <c r="E191" s="2" t="str">
        <f ca="1">_xlfn.XLOOKUP(A:A,[1]Matriz!$E:$E,[1]Matriz!$BY:$BY)</f>
        <v>SIN CURSO</v>
      </c>
    </row>
    <row r="192" spans="1:5" hidden="1" x14ac:dyDescent="0.35">
      <c r="A192" s="4" t="s">
        <v>229</v>
      </c>
      <c r="B192" s="4" t="s">
        <v>228</v>
      </c>
      <c r="C192" s="2">
        <f>_xlfn.XLOOKUP(A:A,[1]Matriz!$E:$E,[1]Matriz!$BU:$BU)</f>
        <v>0</v>
      </c>
      <c r="D192" s="3">
        <f>_xlfn.XLOOKUP(A:A,[1]Matriz!$E:$E,[1]Matriz!$BW:$BW)</f>
        <v>0</v>
      </c>
      <c r="E192" s="2" t="str">
        <f ca="1">_xlfn.XLOOKUP(A:A,[1]Matriz!$E:$E,[1]Matriz!$BY:$BY)</f>
        <v>SIN CURSO</v>
      </c>
    </row>
    <row r="193" spans="1:5" hidden="1" x14ac:dyDescent="0.35">
      <c r="A193" s="4" t="s">
        <v>227</v>
      </c>
      <c r="B193" s="4" t="s">
        <v>226</v>
      </c>
      <c r="C193" s="2" t="str">
        <f>_xlfn.XLOOKUP(A:A,[1]Matriz!$E:$E,[1]Matriz!$BU:$BU)</f>
        <v>FASE 1 MANIPULADOR CAEX 980E Y 930E/SIN LICENCIA</v>
      </c>
      <c r="D193" s="3">
        <f>_xlfn.XLOOKUP(A:A,[1]Matriz!$E:$E,[1]Matriz!$BW:$BW)</f>
        <v>46309</v>
      </c>
      <c r="E193" s="2" t="str">
        <f ca="1">_xlfn.XLOOKUP(A:A,[1]Matriz!$E:$E,[1]Matriz!$BY:$BY)</f>
        <v>VIGENTE</v>
      </c>
    </row>
    <row r="194" spans="1:5" hidden="1" x14ac:dyDescent="0.35">
      <c r="A194" s="4" t="s">
        <v>225</v>
      </c>
      <c r="B194" s="4" t="s">
        <v>224</v>
      </c>
      <c r="C194" s="2">
        <f>_xlfn.XLOOKUP(A:A,[1]Matriz!$E:$E,[1]Matriz!$BU:$BU)</f>
        <v>0</v>
      </c>
      <c r="D194" s="3">
        <f>_xlfn.XLOOKUP(A:A,[1]Matriz!$E:$E,[1]Matriz!$BW:$BW)</f>
        <v>0</v>
      </c>
      <c r="E194" s="2" t="str">
        <f ca="1">_xlfn.XLOOKUP(A:A,[1]Matriz!$E:$E,[1]Matriz!$BY:$BY)</f>
        <v>SIN CURSO</v>
      </c>
    </row>
    <row r="195" spans="1:5" hidden="1" x14ac:dyDescent="0.35">
      <c r="A195" s="4" t="s">
        <v>223</v>
      </c>
      <c r="B195" s="4" t="s">
        <v>222</v>
      </c>
      <c r="C195" s="2">
        <f>_xlfn.XLOOKUP(A:A,[1]Matriz!$E:$E,[1]Matriz!$BU:$BU)</f>
        <v>0</v>
      </c>
      <c r="D195" s="3">
        <f>_xlfn.XLOOKUP(A:A,[1]Matriz!$E:$E,[1]Matriz!$BW:$BW)</f>
        <v>0</v>
      </c>
      <c r="E195" s="2" t="str">
        <f ca="1">_xlfn.XLOOKUP(A:A,[1]Matriz!$E:$E,[1]Matriz!$BY:$BY)</f>
        <v>SIN CURSO</v>
      </c>
    </row>
    <row r="196" spans="1:5" hidden="1" x14ac:dyDescent="0.35">
      <c r="A196" s="4" t="s">
        <v>221</v>
      </c>
      <c r="B196" s="4" t="s">
        <v>220</v>
      </c>
      <c r="C196" s="2">
        <f>_xlfn.XLOOKUP(A:A,[1]Matriz!$E:$E,[1]Matriz!$BU:$BU)</f>
        <v>0</v>
      </c>
      <c r="D196" s="3">
        <f>_xlfn.XLOOKUP(A:A,[1]Matriz!$E:$E,[1]Matriz!$BW:$BW)</f>
        <v>0</v>
      </c>
      <c r="E196" s="2" t="str">
        <f ca="1">_xlfn.XLOOKUP(A:A,[1]Matriz!$E:$E,[1]Matriz!$BY:$BY)</f>
        <v>SIN CURSO</v>
      </c>
    </row>
    <row r="197" spans="1:5" hidden="1" x14ac:dyDescent="0.35">
      <c r="A197" s="4" t="s">
        <v>219</v>
      </c>
      <c r="B197" s="4" t="s">
        <v>218</v>
      </c>
      <c r="C197" s="2" t="str">
        <f>_xlfn.XLOOKUP(A:A,[1]Matriz!$E:$E,[1]Matriz!$BU:$BU)</f>
        <v>FASE 4 ACREDITADO CAEX 980E &amp; 930E</v>
      </c>
      <c r="D197" s="3">
        <f>_xlfn.XLOOKUP(A:A,[1]Matriz!$E:$E,[1]Matriz!$BW:$BW)</f>
        <v>46403</v>
      </c>
      <c r="E197" s="2" t="str">
        <f ca="1">_xlfn.XLOOKUP(A:A,[1]Matriz!$E:$E,[1]Matriz!$BY:$BY)</f>
        <v>VIGENTE</v>
      </c>
    </row>
    <row r="198" spans="1:5" hidden="1" x14ac:dyDescent="0.35">
      <c r="A198" s="4" t="s">
        <v>217</v>
      </c>
      <c r="B198" s="4" t="s">
        <v>216</v>
      </c>
      <c r="C198" s="2" t="str">
        <f>_xlfn.XLOOKUP(A:A,[1]Matriz!$E:$E,[1]Matriz!$BU:$BU)</f>
        <v>FASE 4 ACREDITADO CAEX 980E &amp; 930E</v>
      </c>
      <c r="D198" s="3">
        <f>_xlfn.XLOOKUP(A:A,[1]Matriz!$E:$E,[1]Matriz!$BW:$BW)</f>
        <v>46410</v>
      </c>
      <c r="E198" s="2" t="str">
        <f ca="1">_xlfn.XLOOKUP(A:A,[1]Matriz!$E:$E,[1]Matriz!$BY:$BY)</f>
        <v>VIGENTE</v>
      </c>
    </row>
    <row r="199" spans="1:5" hidden="1" x14ac:dyDescent="0.35">
      <c r="A199" s="4" t="s">
        <v>215</v>
      </c>
      <c r="B199" s="4" t="s">
        <v>214</v>
      </c>
      <c r="C199" s="2">
        <f>_xlfn.XLOOKUP(A:A,[1]Matriz!$E:$E,[1]Matriz!$BU:$BU)</f>
        <v>0</v>
      </c>
      <c r="D199" s="3">
        <f>_xlfn.XLOOKUP(A:A,[1]Matriz!$E:$E,[1]Matriz!$BW:$BW)</f>
        <v>0</v>
      </c>
      <c r="E199" s="2" t="str">
        <f ca="1">_xlfn.XLOOKUP(A:A,[1]Matriz!$E:$E,[1]Matriz!$BY:$BY)</f>
        <v>SIN CURSO</v>
      </c>
    </row>
    <row r="200" spans="1:5" hidden="1" x14ac:dyDescent="0.35">
      <c r="A200" s="4" t="s">
        <v>213</v>
      </c>
      <c r="B200" s="4" t="s">
        <v>212</v>
      </c>
      <c r="C200" s="2">
        <f>_xlfn.XLOOKUP(A:A,[1]Matriz!$E:$E,[1]Matriz!$BU:$BU)</f>
        <v>0</v>
      </c>
      <c r="D200" s="3">
        <f>_xlfn.XLOOKUP(A:A,[1]Matriz!$E:$E,[1]Matriz!$BW:$BW)</f>
        <v>0</v>
      </c>
      <c r="E200" s="2" t="str">
        <f ca="1">_xlfn.XLOOKUP(A:A,[1]Matriz!$E:$E,[1]Matriz!$BY:$BY)</f>
        <v>SIN CURSO</v>
      </c>
    </row>
    <row r="201" spans="1:5" hidden="1" x14ac:dyDescent="0.35">
      <c r="A201" s="4" t="s">
        <v>211</v>
      </c>
      <c r="B201" s="4" t="s">
        <v>210</v>
      </c>
      <c r="C201" s="2">
        <f>_xlfn.XLOOKUP(A:A,[1]Matriz!$E:$E,[1]Matriz!$BU:$BU)</f>
        <v>0</v>
      </c>
      <c r="D201" s="3">
        <f>_xlfn.XLOOKUP(A:A,[1]Matriz!$E:$E,[1]Matriz!$BW:$BW)</f>
        <v>0</v>
      </c>
      <c r="E201" s="2" t="str">
        <f ca="1">_xlfn.XLOOKUP(A:A,[1]Matriz!$E:$E,[1]Matriz!$BY:$BY)</f>
        <v>SIN CURSO</v>
      </c>
    </row>
    <row r="202" spans="1:5" hidden="1" x14ac:dyDescent="0.35">
      <c r="A202" s="4" t="s">
        <v>209</v>
      </c>
      <c r="B202" s="4" t="s">
        <v>208</v>
      </c>
      <c r="C202" s="2" t="str">
        <f>_xlfn.XLOOKUP(A:A,[1]Matriz!$E:$E,[1]Matriz!$BU:$BU)</f>
        <v>FASE 4 ACREDITADO CAEX 980E &amp; 930E</v>
      </c>
      <c r="D202" s="3">
        <f>_xlfn.XLOOKUP(A:A,[1]Matriz!$E:$E,[1]Matriz!$BW:$BW)</f>
        <v>46403</v>
      </c>
      <c r="E202" s="2" t="str">
        <f ca="1">_xlfn.XLOOKUP(A:A,[1]Matriz!$E:$E,[1]Matriz!$BY:$BY)</f>
        <v>VIGENTE</v>
      </c>
    </row>
    <row r="203" spans="1:5" hidden="1" x14ac:dyDescent="0.35">
      <c r="A203" s="4" t="s">
        <v>207</v>
      </c>
      <c r="B203" s="4" t="s">
        <v>206</v>
      </c>
      <c r="C203" s="2">
        <f>_xlfn.XLOOKUP(A:A,[1]Matriz!$E:$E,[1]Matriz!$BU:$BU)</f>
        <v>0</v>
      </c>
      <c r="D203" s="3">
        <f>_xlfn.XLOOKUP(A:A,[1]Matriz!$E:$E,[1]Matriz!$BW:$BW)</f>
        <v>0</v>
      </c>
      <c r="E203" s="2" t="str">
        <f ca="1">_xlfn.XLOOKUP(A:A,[1]Matriz!$E:$E,[1]Matriz!$BY:$BY)</f>
        <v>SIN CURSO</v>
      </c>
    </row>
    <row r="204" spans="1:5" hidden="1" x14ac:dyDescent="0.35">
      <c r="A204" s="4" t="s">
        <v>205</v>
      </c>
      <c r="B204" s="4" t="s">
        <v>204</v>
      </c>
      <c r="C204" s="2" t="str">
        <f>_xlfn.XLOOKUP(A:A,[1]Matriz!$E:$E,[1]Matriz!$BU:$BU)</f>
        <v>CAL234321</v>
      </c>
      <c r="D204" s="3">
        <f>_xlfn.XLOOKUP(A:A,[1]Matriz!$E:$E,[1]Matriz!$BW:$BW)</f>
        <v>46810</v>
      </c>
      <c r="E204" s="2" t="str">
        <f ca="1">_xlfn.XLOOKUP(A:A,[1]Matriz!$E:$E,[1]Matriz!$BY:$BY)</f>
        <v>VIGENTE</v>
      </c>
    </row>
    <row r="205" spans="1:5" hidden="1" x14ac:dyDescent="0.35">
      <c r="A205" s="4" t="s">
        <v>203</v>
      </c>
      <c r="B205" s="4" t="s">
        <v>202</v>
      </c>
      <c r="C205" s="2">
        <f>_xlfn.XLOOKUP(A:A,[1]Matriz!$E:$E,[1]Matriz!$BU:$BU)</f>
        <v>0</v>
      </c>
      <c r="D205" s="3">
        <f>_xlfn.XLOOKUP(A:A,[1]Matriz!$E:$E,[1]Matriz!$BW:$BW)</f>
        <v>0</v>
      </c>
      <c r="E205" s="2" t="str">
        <f ca="1">_xlfn.XLOOKUP(A:A,[1]Matriz!$E:$E,[1]Matriz!$BY:$BY)</f>
        <v>SIN CURSO</v>
      </c>
    </row>
    <row r="206" spans="1:5" hidden="1" x14ac:dyDescent="0.35">
      <c r="A206" s="4" t="s">
        <v>201</v>
      </c>
      <c r="B206" s="4" t="s">
        <v>200</v>
      </c>
      <c r="C206" s="2" t="str">
        <f>_xlfn.XLOOKUP(A:A,[1]Matriz!$E:$E,[1]Matriz!$BU:$BU)</f>
        <v>FASE 4 ACREDITADO CAEX 980E &amp; 930E</v>
      </c>
      <c r="D206" s="3">
        <f>_xlfn.XLOOKUP(A:A,[1]Matriz!$E:$E,[1]Matriz!$BW:$BW)</f>
        <v>46410</v>
      </c>
      <c r="E206" s="2" t="str">
        <f ca="1">_xlfn.XLOOKUP(A:A,[1]Matriz!$E:$E,[1]Matriz!$BY:$BY)</f>
        <v>VIGENTE</v>
      </c>
    </row>
    <row r="207" spans="1:5" hidden="1" x14ac:dyDescent="0.35">
      <c r="A207" s="4" t="s">
        <v>199</v>
      </c>
      <c r="B207" s="4" t="s">
        <v>198</v>
      </c>
      <c r="C207" s="2" t="e">
        <f ca="1">_xlfn.XLOOKUP(A:A,[1]Matriz!$E:$E,[1]Matriz!$BU:$BU)</f>
        <v>#REF!</v>
      </c>
      <c r="D207" s="3">
        <f>_xlfn.XLOOKUP(A:A,[1]Matriz!$E:$E,[1]Matriz!$BW:$BW)</f>
        <v>0</v>
      </c>
      <c r="E207" s="2" t="str">
        <f ca="1">_xlfn.XLOOKUP(A:A,[1]Matriz!$E:$E,[1]Matriz!$BY:$BY)</f>
        <v>SIN CURSO</v>
      </c>
    </row>
    <row r="208" spans="1:5" hidden="1" x14ac:dyDescent="0.35">
      <c r="A208" s="4" t="s">
        <v>197</v>
      </c>
      <c r="B208" s="4" t="s">
        <v>196</v>
      </c>
      <c r="C208" s="2">
        <f>_xlfn.XLOOKUP(A:A,[1]Matriz!$E:$E,[1]Matriz!$BU:$BU)</f>
        <v>0</v>
      </c>
      <c r="D208" s="3">
        <f>_xlfn.XLOOKUP(A:A,[1]Matriz!$E:$E,[1]Matriz!$BW:$BW)</f>
        <v>0</v>
      </c>
      <c r="E208" s="2" t="str">
        <f ca="1">_xlfn.XLOOKUP(A:A,[1]Matriz!$E:$E,[1]Matriz!$BY:$BY)</f>
        <v>SIN CURSO</v>
      </c>
    </row>
    <row r="209" spans="1:5" hidden="1" x14ac:dyDescent="0.35">
      <c r="A209" s="5" t="s">
        <v>195</v>
      </c>
      <c r="B209" s="5" t="s">
        <v>194</v>
      </c>
      <c r="C209" s="2" t="str">
        <f>_xlfn.XLOOKUP(A:A,[1]Matriz!$E:$E,[1]Matriz!$BU:$BU)</f>
        <v>FASE 4 ACREDITADO CAEX 980E &amp; 930E</v>
      </c>
      <c r="D209" s="3">
        <f>_xlfn.XLOOKUP(A:A,[1]Matriz!$E:$E,[1]Matriz!$BW:$BW)</f>
        <v>46410</v>
      </c>
      <c r="E209" s="2" t="str">
        <f ca="1">_xlfn.XLOOKUP(A:A,[1]Matriz!$E:$E,[1]Matriz!$BY:$BY)</f>
        <v>VIGENTE</v>
      </c>
    </row>
    <row r="210" spans="1:5" hidden="1" x14ac:dyDescent="0.35">
      <c r="A210" s="5" t="s">
        <v>193</v>
      </c>
      <c r="B210" s="5" t="s">
        <v>192</v>
      </c>
      <c r="C210" s="2">
        <f>_xlfn.XLOOKUP(A:A,[1]Matriz!$E:$E,[1]Matriz!$BU:$BU)</f>
        <v>0</v>
      </c>
      <c r="D210" s="3">
        <f>_xlfn.XLOOKUP(A:A,[1]Matriz!$E:$E,[1]Matriz!$BW:$BW)</f>
        <v>0</v>
      </c>
      <c r="E210" s="2" t="str">
        <f ca="1">_xlfn.XLOOKUP(A:A,[1]Matriz!$E:$E,[1]Matriz!$BY:$BY)</f>
        <v>SIN CURSO</v>
      </c>
    </row>
    <row r="211" spans="1:5" hidden="1" x14ac:dyDescent="0.35">
      <c r="A211" s="5" t="s">
        <v>191</v>
      </c>
      <c r="B211" s="5" t="s">
        <v>190</v>
      </c>
      <c r="C211" s="2" t="e">
        <f ca="1">_xlfn.XLOOKUP(A:A,[1]Matriz!$E:$E,[1]Matriz!$BU:$BU)</f>
        <v>#REF!</v>
      </c>
      <c r="D211" s="3">
        <f>_xlfn.XLOOKUP(A:A,[1]Matriz!$E:$E,[1]Matriz!$BW:$BW)</f>
        <v>0</v>
      </c>
      <c r="E211" s="2">
        <f>_xlfn.XLOOKUP(A:A,[1]Matriz!$E:$E,[1]Matriz!$BY:$BY)</f>
        <v>0</v>
      </c>
    </row>
    <row r="212" spans="1:5" hidden="1" x14ac:dyDescent="0.35">
      <c r="A212" s="5" t="s">
        <v>189</v>
      </c>
      <c r="B212" s="5" t="s">
        <v>188</v>
      </c>
      <c r="C212" s="2" t="str">
        <f>_xlfn.XLOOKUP(A:A,[1]Matriz!$E:$E,[1]Matriz!$BU:$BU)</f>
        <v>FASE 4 ACREDITADO CAEX 980E &amp; 930E</v>
      </c>
      <c r="D212" s="3">
        <f>_xlfn.XLOOKUP(A:A,[1]Matriz!$E:$E,[1]Matriz!$BW:$BW)</f>
        <v>46410</v>
      </c>
      <c r="E212" s="2" t="str">
        <f ca="1">_xlfn.XLOOKUP(A:A,[1]Matriz!$E:$E,[1]Matriz!$BY:$BY)</f>
        <v>VIGENTE</v>
      </c>
    </row>
    <row r="213" spans="1:5" hidden="1" x14ac:dyDescent="0.35">
      <c r="A213" s="4" t="s">
        <v>187</v>
      </c>
      <c r="B213" s="4" t="s">
        <v>186</v>
      </c>
      <c r="C213" s="2">
        <f>_xlfn.XLOOKUP(A:A,[1]Matriz!$E:$E,[1]Matriz!$BU:$BU)</f>
        <v>0</v>
      </c>
      <c r="D213" s="3">
        <f>_xlfn.XLOOKUP(A:A,[1]Matriz!$E:$E,[1]Matriz!$BW:$BW)</f>
        <v>0</v>
      </c>
      <c r="E213" s="2" t="str">
        <f ca="1">_xlfn.XLOOKUP(A:A,[1]Matriz!$E:$E,[1]Matriz!$BY:$BY)</f>
        <v>SIN CURSO</v>
      </c>
    </row>
    <row r="214" spans="1:5" hidden="1" x14ac:dyDescent="0.35">
      <c r="A214" s="5" t="s">
        <v>185</v>
      </c>
      <c r="B214" s="5" t="s">
        <v>184</v>
      </c>
      <c r="C214" s="2">
        <f>_xlfn.XLOOKUP(A:A,[1]Matriz!$E:$E,[1]Matriz!$BU:$BU)</f>
        <v>0</v>
      </c>
      <c r="D214" s="3">
        <f>_xlfn.XLOOKUP(A:A,[1]Matriz!$E:$E,[1]Matriz!$BW:$BW)</f>
        <v>0</v>
      </c>
      <c r="E214" s="2" t="str">
        <f ca="1">_xlfn.XLOOKUP(A:A,[1]Matriz!$E:$E,[1]Matriz!$BY:$BY)</f>
        <v>SIN CURSO</v>
      </c>
    </row>
    <row r="215" spans="1:5" hidden="1" x14ac:dyDescent="0.35">
      <c r="A215" s="6" t="s">
        <v>183</v>
      </c>
      <c r="B215" s="5" t="s">
        <v>182</v>
      </c>
      <c r="C215" s="2">
        <f>_xlfn.XLOOKUP(A:A,[1]Matriz!$E:$E,[1]Matriz!$BU:$BU)</f>
        <v>0</v>
      </c>
      <c r="D215" s="3">
        <f>_xlfn.XLOOKUP(A:A,[1]Matriz!$E:$E,[1]Matriz!$BW:$BW)</f>
        <v>0</v>
      </c>
      <c r="E215" s="2" t="str">
        <f ca="1">_xlfn.XLOOKUP(A:A,[1]Matriz!$E:$E,[1]Matriz!$BY:$BY)</f>
        <v>SIN CURSO</v>
      </c>
    </row>
    <row r="216" spans="1:5" hidden="1" x14ac:dyDescent="0.35">
      <c r="A216" s="4" t="s">
        <v>181</v>
      </c>
      <c r="B216" s="4" t="s">
        <v>180</v>
      </c>
      <c r="C216" s="2">
        <f>_xlfn.XLOOKUP(A:A,[1]Matriz!$E:$E,[1]Matriz!$BU:$BU)</f>
        <v>0</v>
      </c>
      <c r="D216" s="3">
        <f>_xlfn.XLOOKUP(A:A,[1]Matriz!$E:$E,[1]Matriz!$BW:$BW)</f>
        <v>0</v>
      </c>
      <c r="E216" s="2" t="str">
        <f ca="1">_xlfn.XLOOKUP(A:A,[1]Matriz!$E:$E,[1]Matriz!$BY:$BY)</f>
        <v>SIN CURSO</v>
      </c>
    </row>
    <row r="217" spans="1:5" hidden="1" x14ac:dyDescent="0.35">
      <c r="A217" s="5" t="s">
        <v>179</v>
      </c>
      <c r="B217" s="5" t="s">
        <v>178</v>
      </c>
      <c r="C217" s="2">
        <f>_xlfn.XLOOKUP(A:A,[1]Matriz!$E:$E,[1]Matriz!$BU:$BU)</f>
        <v>0</v>
      </c>
      <c r="D217" s="3">
        <f>_xlfn.XLOOKUP(A:A,[1]Matriz!$E:$E,[1]Matriz!$BW:$BW)</f>
        <v>0</v>
      </c>
      <c r="E217" s="2" t="str">
        <f ca="1">_xlfn.XLOOKUP(A:A,[1]Matriz!$E:$E,[1]Matriz!$BY:$BY)</f>
        <v>SIN CURSO</v>
      </c>
    </row>
    <row r="218" spans="1:5" hidden="1" x14ac:dyDescent="0.35">
      <c r="A218" s="5" t="s">
        <v>177</v>
      </c>
      <c r="B218" s="5" t="s">
        <v>176</v>
      </c>
      <c r="C218" s="2">
        <f>_xlfn.XLOOKUP(A:A,[1]Matriz!$E:$E,[1]Matriz!$BU:$BU)</f>
        <v>0</v>
      </c>
      <c r="D218" s="3">
        <f>_xlfn.XLOOKUP(A:A,[1]Matriz!$E:$E,[1]Matriz!$BW:$BW)</f>
        <v>0</v>
      </c>
      <c r="E218" s="2" t="str">
        <f ca="1">_xlfn.XLOOKUP(A:A,[1]Matriz!$E:$E,[1]Matriz!$BY:$BY)</f>
        <v>SIN CURSO</v>
      </c>
    </row>
    <row r="219" spans="1:5" hidden="1" x14ac:dyDescent="0.35">
      <c r="A219" s="4" t="s">
        <v>175</v>
      </c>
      <c r="B219" s="4" t="s">
        <v>174</v>
      </c>
      <c r="C219" s="2">
        <f>_xlfn.XLOOKUP(A:A,[1]Matriz!$E:$E,[1]Matriz!$BU:$BU)</f>
        <v>0</v>
      </c>
      <c r="D219" s="3">
        <f>_xlfn.XLOOKUP(A:A,[1]Matriz!$E:$E,[1]Matriz!$BW:$BW)</f>
        <v>0</v>
      </c>
      <c r="E219" s="2" t="str">
        <f ca="1">_xlfn.XLOOKUP(A:A,[1]Matriz!$E:$E,[1]Matriz!$BY:$BY)</f>
        <v>SIN CURSO</v>
      </c>
    </row>
    <row r="220" spans="1:5" hidden="1" x14ac:dyDescent="0.35">
      <c r="A220" s="5" t="s">
        <v>173</v>
      </c>
      <c r="B220" s="5" t="s">
        <v>172</v>
      </c>
      <c r="C220" s="2" t="e">
        <f ca="1">_xlfn.XLOOKUP(A:A,[1]Matriz!$E:$E,[1]Matriz!$BU:$BU)</f>
        <v>#REF!</v>
      </c>
      <c r="D220" s="3">
        <f>_xlfn.XLOOKUP(A:A,[1]Matriz!$E:$E,[1]Matriz!$BW:$BW)</f>
        <v>0</v>
      </c>
      <c r="E220" s="2">
        <f>_xlfn.XLOOKUP(A:A,[1]Matriz!$E:$E,[1]Matriz!$BY:$BY)</f>
        <v>0</v>
      </c>
    </row>
    <row r="221" spans="1:5" hidden="1" x14ac:dyDescent="0.35">
      <c r="A221" s="4" t="s">
        <v>171</v>
      </c>
      <c r="B221" s="12" t="s">
        <v>170</v>
      </c>
      <c r="C221" s="2">
        <f>_xlfn.XLOOKUP(A:A,[1]Matriz!$E:$E,[1]Matriz!$BU:$BU)</f>
        <v>0</v>
      </c>
      <c r="D221" s="3">
        <f>_xlfn.XLOOKUP(A:A,[1]Matriz!$E:$E,[1]Matriz!$BW:$BW)</f>
        <v>0</v>
      </c>
      <c r="E221" s="2" t="str">
        <f ca="1">_xlfn.XLOOKUP(A:A,[1]Matriz!$E:$E,[1]Matriz!$BY:$BY)</f>
        <v>SIN CURSO</v>
      </c>
    </row>
    <row r="222" spans="1:5" hidden="1" x14ac:dyDescent="0.35">
      <c r="A222" s="5" t="s">
        <v>169</v>
      </c>
      <c r="B222" s="5" t="s">
        <v>168</v>
      </c>
      <c r="C222" s="2">
        <f>_xlfn.XLOOKUP(A:A,[1]Matriz!$E:$E,[1]Matriz!$BU:$BU)</f>
        <v>0</v>
      </c>
      <c r="D222" s="3">
        <f>_xlfn.XLOOKUP(A:A,[1]Matriz!$E:$E,[1]Matriz!$BW:$BW)</f>
        <v>0</v>
      </c>
      <c r="E222" s="2" t="str">
        <f ca="1">_xlfn.XLOOKUP(A:A,[1]Matriz!$E:$E,[1]Matriz!$BY:$BY)</f>
        <v>SIN CURSO</v>
      </c>
    </row>
    <row r="223" spans="1:5" hidden="1" x14ac:dyDescent="0.35">
      <c r="A223" s="5" t="s">
        <v>167</v>
      </c>
      <c r="B223" s="5" t="s">
        <v>166</v>
      </c>
      <c r="C223" s="2">
        <f>_xlfn.XLOOKUP(A:A,[1]Matriz!$E:$E,[1]Matriz!$BU:$BU)</f>
        <v>0</v>
      </c>
      <c r="D223" s="3">
        <f>_xlfn.XLOOKUP(A:A,[1]Matriz!$E:$E,[1]Matriz!$BW:$BW)</f>
        <v>0</v>
      </c>
      <c r="E223" s="2" t="str">
        <f ca="1">_xlfn.XLOOKUP(A:A,[1]Matriz!$E:$E,[1]Matriz!$BY:$BY)</f>
        <v>SIN CURSO</v>
      </c>
    </row>
    <row r="224" spans="1:5" hidden="1" x14ac:dyDescent="0.35">
      <c r="A224" s="5" t="s">
        <v>165</v>
      </c>
      <c r="B224" s="5" t="s">
        <v>164</v>
      </c>
      <c r="C224" s="2">
        <f>_xlfn.XLOOKUP(A:A,[1]Matriz!$E:$E,[1]Matriz!$BU:$BU)</f>
        <v>0</v>
      </c>
      <c r="D224" s="3">
        <f>_xlfn.XLOOKUP(A:A,[1]Matriz!$E:$E,[1]Matriz!$BW:$BW)</f>
        <v>0</v>
      </c>
      <c r="E224" s="2" t="str">
        <f>_xlfn.XLOOKUP(A:A,[1]Matriz!$E:$E,[1]Matriz!$BY:$BY)</f>
        <v>SIN CURSO</v>
      </c>
    </row>
    <row r="225" spans="1:5" hidden="1" x14ac:dyDescent="0.35">
      <c r="A225" s="5" t="s">
        <v>163</v>
      </c>
      <c r="B225" s="5" t="s">
        <v>162</v>
      </c>
      <c r="C225" s="2" t="e">
        <f ca="1">_xlfn.XLOOKUP(A:A,[1]Matriz!$E:$E,[1]Matriz!$BU:$BU)</f>
        <v>#REF!</v>
      </c>
      <c r="D225" s="3">
        <f>_xlfn.XLOOKUP(A:A,[1]Matriz!$E:$E,[1]Matriz!$BW:$BW)</f>
        <v>0</v>
      </c>
      <c r="E225" s="2" t="str">
        <f ca="1">_xlfn.XLOOKUP(A:A,[1]Matriz!$E:$E,[1]Matriz!$BY:$BY)</f>
        <v>SIN CURSO</v>
      </c>
    </row>
    <row r="226" spans="1:5" hidden="1" x14ac:dyDescent="0.35">
      <c r="A226" s="5" t="s">
        <v>161</v>
      </c>
      <c r="B226" s="5" t="s">
        <v>160</v>
      </c>
      <c r="C226" s="2" t="e">
        <f ca="1">_xlfn.XLOOKUP(A:A,[1]Matriz!$E:$E,[1]Matriz!$BU:$BU)</f>
        <v>#REF!</v>
      </c>
      <c r="D226" s="3">
        <f>_xlfn.XLOOKUP(A:A,[1]Matriz!$E:$E,[1]Matriz!$BW:$BW)</f>
        <v>0</v>
      </c>
      <c r="E226" s="2" t="str">
        <f ca="1">_xlfn.XLOOKUP(A:A,[1]Matriz!$E:$E,[1]Matriz!$BY:$BY)</f>
        <v>SIN CURSO</v>
      </c>
    </row>
    <row r="227" spans="1:5" hidden="1" x14ac:dyDescent="0.35">
      <c r="A227" s="5" t="s">
        <v>159</v>
      </c>
      <c r="B227" s="9" t="s">
        <v>158</v>
      </c>
      <c r="C227" s="2">
        <f>_xlfn.XLOOKUP(A:A,[1]Matriz!$E:$E,[1]Matriz!$BU:$BU)</f>
        <v>0</v>
      </c>
      <c r="D227" s="3">
        <f>_xlfn.XLOOKUP(A:A,[1]Matriz!$E:$E,[1]Matriz!$BW:$BW)</f>
        <v>0</v>
      </c>
      <c r="E227" s="2" t="str">
        <f ca="1">_xlfn.XLOOKUP(A:A,[1]Matriz!$E:$E,[1]Matriz!$BY:$BY)</f>
        <v>SIN CURSO</v>
      </c>
    </row>
    <row r="228" spans="1:5" hidden="1" x14ac:dyDescent="0.35">
      <c r="A228" s="5" t="s">
        <v>157</v>
      </c>
      <c r="B228" s="5" t="s">
        <v>156</v>
      </c>
      <c r="C228" s="2">
        <f>_xlfn.XLOOKUP(A:A,[1]Matriz!$E:$E,[1]Matriz!$BU:$BU)</f>
        <v>0</v>
      </c>
      <c r="D228" s="3">
        <f>_xlfn.XLOOKUP(A:A,[1]Matriz!$E:$E,[1]Matriz!$BW:$BW)</f>
        <v>0</v>
      </c>
      <c r="E228" s="2" t="str">
        <f ca="1">_xlfn.XLOOKUP(A:A,[1]Matriz!$E:$E,[1]Matriz!$BY:$BY)</f>
        <v>SIN CURSO</v>
      </c>
    </row>
    <row r="229" spans="1:5" hidden="1" x14ac:dyDescent="0.35">
      <c r="A229" s="5" t="s">
        <v>155</v>
      </c>
      <c r="B229" s="5" t="s">
        <v>154</v>
      </c>
      <c r="C229" s="2" t="str">
        <f>_xlfn.XLOOKUP(A:A,[1]Matriz!$E:$E,[1]Matriz!$BU:$BU)</f>
        <v>CAL234321</v>
      </c>
      <c r="D229" s="3">
        <f>_xlfn.XLOOKUP(A:A,[1]Matriz!$E:$E,[1]Matriz!$BW:$BW)</f>
        <v>46810</v>
      </c>
      <c r="E229" s="2" t="str">
        <f ca="1">_xlfn.XLOOKUP(A:A,[1]Matriz!$E:$E,[1]Matriz!$BY:$BY)</f>
        <v>VIGENTE</v>
      </c>
    </row>
    <row r="230" spans="1:5" hidden="1" x14ac:dyDescent="0.35">
      <c r="A230" s="5" t="s">
        <v>153</v>
      </c>
      <c r="B230" s="5" t="s">
        <v>152</v>
      </c>
      <c r="C230" s="2" t="str">
        <f>_xlfn.XLOOKUP(A:A,[1]Matriz!$E:$E,[1]Matriz!$BU:$BU)</f>
        <v>FASE 1 MANIPULADOR CAEX 980E Y 930E</v>
      </c>
      <c r="D230" s="3">
        <f>_xlfn.XLOOKUP(A:A,[1]Matriz!$E:$E,[1]Matriz!$BW:$BW)</f>
        <v>46088</v>
      </c>
      <c r="E230" s="2" t="str">
        <f>_xlfn.XLOOKUP(A:A,[1]Matriz!$E:$E,[1]Matriz!$BY:$BY)</f>
        <v>SIN CURSO</v>
      </c>
    </row>
    <row r="231" spans="1:5" hidden="1" x14ac:dyDescent="0.35">
      <c r="A231" s="5" t="s">
        <v>151</v>
      </c>
      <c r="B231" s="5" t="s">
        <v>150</v>
      </c>
      <c r="C231" s="2" t="e">
        <f ca="1">_xlfn.XLOOKUP(A:A,[1]Matriz!$E:$E,[1]Matriz!$BU:$BU)</f>
        <v>#REF!</v>
      </c>
      <c r="D231" s="3">
        <f>_xlfn.XLOOKUP(A:A,[1]Matriz!$E:$E,[1]Matriz!$BW:$BW)</f>
        <v>0</v>
      </c>
      <c r="E231" s="2" t="str">
        <f ca="1">_xlfn.XLOOKUP(A:A,[1]Matriz!$E:$E,[1]Matriz!$BY:$BY)</f>
        <v>SIN CURSO</v>
      </c>
    </row>
    <row r="232" spans="1:5" hidden="1" x14ac:dyDescent="0.35">
      <c r="A232" s="5" t="s">
        <v>149</v>
      </c>
      <c r="B232" s="5" t="s">
        <v>148</v>
      </c>
      <c r="C232" s="2">
        <f>_xlfn.XLOOKUP(A:A,[1]Matriz!$E:$E,[1]Matriz!$BU:$BU)</f>
        <v>0</v>
      </c>
      <c r="D232" s="3">
        <f>_xlfn.XLOOKUP(A:A,[1]Matriz!$E:$E,[1]Matriz!$BW:$BW)</f>
        <v>0</v>
      </c>
      <c r="E232" s="2" t="str">
        <f ca="1">_xlfn.XLOOKUP(A:A,[1]Matriz!$E:$E,[1]Matriz!$BY:$BY)</f>
        <v>SIN CURSO</v>
      </c>
    </row>
    <row r="233" spans="1:5" hidden="1" x14ac:dyDescent="0.35">
      <c r="A233" s="4" t="s">
        <v>147</v>
      </c>
      <c r="B233" s="4" t="s">
        <v>146</v>
      </c>
      <c r="C233" s="2">
        <f>_xlfn.XLOOKUP(A:A,[1]Matriz!$E:$E,[1]Matriz!$BU:$BU)</f>
        <v>0</v>
      </c>
      <c r="D233" s="3">
        <f>_xlfn.XLOOKUP(A:A,[1]Matriz!$E:$E,[1]Matriz!$BW:$BW)</f>
        <v>0</v>
      </c>
      <c r="E233" s="2" t="str">
        <f ca="1">_xlfn.XLOOKUP(A:A,[1]Matriz!$E:$E,[1]Matriz!$BY:$BY)</f>
        <v>SIN CURSO</v>
      </c>
    </row>
    <row r="234" spans="1:5" hidden="1" x14ac:dyDescent="0.35">
      <c r="A234" s="4" t="s">
        <v>145</v>
      </c>
      <c r="B234" s="4" t="s">
        <v>144</v>
      </c>
      <c r="C234" s="2" t="str">
        <f>_xlfn.XLOOKUP(A:A,[1]Matriz!$E:$E,[1]Matriz!$BU:$BU)</f>
        <v>FASE 1 MANIPULADOR CAEX 980E Y 930E</v>
      </c>
      <c r="D234" s="3">
        <f>_xlfn.XLOOKUP(A:A,[1]Matriz!$E:$E,[1]Matriz!$BW:$BW)</f>
        <v>46309</v>
      </c>
      <c r="E234" s="2" t="str">
        <f ca="1">_xlfn.XLOOKUP(A:A,[1]Matriz!$E:$E,[1]Matriz!$BY:$BY)</f>
        <v>VIGENTE</v>
      </c>
    </row>
    <row r="235" spans="1:5" hidden="1" x14ac:dyDescent="0.35">
      <c r="A235" s="5" t="s">
        <v>143</v>
      </c>
      <c r="B235" s="5" t="s">
        <v>142</v>
      </c>
      <c r="C235" s="2">
        <f>_xlfn.XLOOKUP(A:A,[1]Matriz!$E:$E,[1]Matriz!$BU:$BU)</f>
        <v>0</v>
      </c>
      <c r="D235" s="3">
        <f>_xlfn.XLOOKUP(A:A,[1]Matriz!$E:$E,[1]Matriz!$BW:$BW)</f>
        <v>0</v>
      </c>
      <c r="E235" s="2" t="str">
        <f ca="1">_xlfn.XLOOKUP(A:A,[1]Matriz!$E:$E,[1]Matriz!$BY:$BY)</f>
        <v>SIN CURSO</v>
      </c>
    </row>
    <row r="236" spans="1:5" hidden="1" x14ac:dyDescent="0.35">
      <c r="A236" s="5" t="s">
        <v>141</v>
      </c>
      <c r="B236" s="5" t="s">
        <v>140</v>
      </c>
      <c r="C236" s="2">
        <f>_xlfn.XLOOKUP(A:A,[1]Matriz!$E:$E,[1]Matriz!$BU:$BU)</f>
        <v>0</v>
      </c>
      <c r="D236" s="3">
        <f>_xlfn.XLOOKUP(A:A,[1]Matriz!$E:$E,[1]Matriz!$BW:$BW)</f>
        <v>0</v>
      </c>
      <c r="E236" s="2" t="str">
        <f ca="1">_xlfn.XLOOKUP(A:A,[1]Matriz!$E:$E,[1]Matriz!$BY:$BY)</f>
        <v>SIN CURSO</v>
      </c>
    </row>
    <row r="237" spans="1:5" hidden="1" x14ac:dyDescent="0.35">
      <c r="A237" s="5" t="s">
        <v>139</v>
      </c>
      <c r="B237" s="5" t="s">
        <v>138</v>
      </c>
      <c r="C237" s="2">
        <f>_xlfn.XLOOKUP(A:A,[1]Matriz!$E:$E,[1]Matriz!$BU:$BU)</f>
        <v>0</v>
      </c>
      <c r="D237" s="3">
        <f>_xlfn.XLOOKUP(A:A,[1]Matriz!$E:$E,[1]Matriz!$BW:$BW)</f>
        <v>0</v>
      </c>
      <c r="E237" s="2" t="str">
        <f ca="1">_xlfn.XLOOKUP(A:A,[1]Matriz!$E:$E,[1]Matriz!$BY:$BY)</f>
        <v>SIN CURSO</v>
      </c>
    </row>
    <row r="238" spans="1:5" hidden="1" x14ac:dyDescent="0.35">
      <c r="A238" s="5" t="s">
        <v>137</v>
      </c>
      <c r="B238" s="5" t="s">
        <v>136</v>
      </c>
      <c r="C238" s="2">
        <f>_xlfn.XLOOKUP(A:A,[1]Matriz!$E:$E,[1]Matriz!$BU:$BU)</f>
        <v>0</v>
      </c>
      <c r="D238" s="3">
        <f>_xlfn.XLOOKUP(A:A,[1]Matriz!$E:$E,[1]Matriz!$BW:$BW)</f>
        <v>0</v>
      </c>
      <c r="E238" s="2" t="str">
        <f ca="1">_xlfn.XLOOKUP(A:A,[1]Matriz!$E:$E,[1]Matriz!$BY:$BY)</f>
        <v>SIN CURSO</v>
      </c>
    </row>
    <row r="239" spans="1:5" hidden="1" x14ac:dyDescent="0.35">
      <c r="A239" s="5" t="s">
        <v>135</v>
      </c>
      <c r="B239" s="5" t="s">
        <v>134</v>
      </c>
      <c r="C239" s="2">
        <f>_xlfn.XLOOKUP(A:A,[1]Matriz!$E:$E,[1]Matriz!$BU:$BU)</f>
        <v>0</v>
      </c>
      <c r="D239" s="3">
        <f>_xlfn.XLOOKUP(A:A,[1]Matriz!$E:$E,[1]Matriz!$BW:$BW)</f>
        <v>0</v>
      </c>
      <c r="E239" s="2" t="str">
        <f ca="1">_xlfn.XLOOKUP(A:A,[1]Matriz!$E:$E,[1]Matriz!$BY:$BY)</f>
        <v>SIN CURSO</v>
      </c>
    </row>
    <row r="240" spans="1:5" x14ac:dyDescent="0.35">
      <c r="A240" s="5" t="s">
        <v>133</v>
      </c>
      <c r="B240" s="5" t="s">
        <v>132</v>
      </c>
      <c r="C240" s="2" t="str">
        <f>_xlfn.XLOOKUP(A:A,[1]Matriz!$E:$E,[1]Matriz!$BU:$BU)</f>
        <v>FASE 3 OPERACIÓN CAEX 980E &amp; 930E</v>
      </c>
      <c r="D240" s="3">
        <f>_xlfn.XLOOKUP(A:A,[1]Matriz!$E:$E,[1]Matriz!$BW:$BW)</f>
        <v>46239</v>
      </c>
      <c r="E240" s="2" t="str">
        <f ca="1">_xlfn.XLOOKUP(A:A,[1]Matriz!$E:$E,[1]Matriz!$BY:$BY)</f>
        <v>POR VENCER</v>
      </c>
    </row>
    <row r="241" spans="1:5" hidden="1" x14ac:dyDescent="0.35">
      <c r="A241" s="5" t="s">
        <v>131</v>
      </c>
      <c r="B241" s="5" t="s">
        <v>130</v>
      </c>
      <c r="C241" s="2">
        <f>_xlfn.XLOOKUP(A:A,[1]Matriz!$E:$E,[1]Matriz!$BU:$BU)</f>
        <v>0</v>
      </c>
      <c r="D241" s="3">
        <f>_xlfn.XLOOKUP(A:A,[1]Matriz!$E:$E,[1]Matriz!$BW:$BW)</f>
        <v>0</v>
      </c>
      <c r="E241" s="2" t="str">
        <f ca="1">_xlfn.XLOOKUP(A:A,[1]Matriz!$E:$E,[1]Matriz!$BY:$BY)</f>
        <v>SIN CURSO</v>
      </c>
    </row>
    <row r="242" spans="1:5" hidden="1" x14ac:dyDescent="0.35">
      <c r="A242" s="11" t="s">
        <v>129</v>
      </c>
      <c r="B242" s="4" t="s">
        <v>128</v>
      </c>
      <c r="C242" s="2">
        <f>_xlfn.XLOOKUP(A:A,[1]Matriz!$E:$E,[1]Matriz!$BU:$BU)</f>
        <v>0</v>
      </c>
      <c r="D242" s="3">
        <f>_xlfn.XLOOKUP(A:A,[1]Matriz!$E:$E,[1]Matriz!$BW:$BW)</f>
        <v>0</v>
      </c>
      <c r="E242" s="2" t="str">
        <f ca="1">_xlfn.XLOOKUP(A:A,[1]Matriz!$E:$E,[1]Matriz!$BY:$BY)</f>
        <v>SIN CURSO</v>
      </c>
    </row>
    <row r="243" spans="1:5" hidden="1" x14ac:dyDescent="0.35">
      <c r="A243" s="4" t="s">
        <v>127</v>
      </c>
      <c r="B243" s="4" t="s">
        <v>126</v>
      </c>
      <c r="C243" s="2" t="str">
        <f>_xlfn.XLOOKUP(A:A,[1]Matriz!$E:$E,[1]Matriz!$BU:$BU)</f>
        <v>CAL237477</v>
      </c>
      <c r="D243" s="3">
        <f>_xlfn.XLOOKUP(A:A,[1]Matriz!$E:$E,[1]Matriz!$BW:$BW)</f>
        <v>46863</v>
      </c>
      <c r="E243" s="2" t="str">
        <f ca="1">_xlfn.XLOOKUP(A:A,[1]Matriz!$E:$E,[1]Matriz!$BY:$BY)</f>
        <v>VIGENTE</v>
      </c>
    </row>
    <row r="244" spans="1:5" hidden="1" x14ac:dyDescent="0.35">
      <c r="A244" s="5" t="s">
        <v>125</v>
      </c>
      <c r="B244" s="5" t="s">
        <v>124</v>
      </c>
      <c r="C244" s="2">
        <f>_xlfn.XLOOKUP(A:A,[1]Matriz!$E:$E,[1]Matriz!$BU:$BU)</f>
        <v>0</v>
      </c>
      <c r="D244" s="3">
        <f>_xlfn.XLOOKUP(A:A,[1]Matriz!$E:$E,[1]Matriz!$BW:$BW)</f>
        <v>0</v>
      </c>
      <c r="E244" s="2" t="str">
        <f ca="1">_xlfn.XLOOKUP(A:A,[1]Matriz!$E:$E,[1]Matriz!$BY:$BY)</f>
        <v>SIN CURSO</v>
      </c>
    </row>
    <row r="245" spans="1:5" hidden="1" x14ac:dyDescent="0.35">
      <c r="A245" s="4" t="s">
        <v>123</v>
      </c>
      <c r="B245" s="4" t="s">
        <v>122</v>
      </c>
      <c r="C245" s="2" t="e">
        <f ca="1">_xlfn.XLOOKUP(A:A,[1]Matriz!$E:$E,[1]Matriz!$BU:$BU)</f>
        <v>#REF!</v>
      </c>
      <c r="D245" s="3">
        <f>_xlfn.XLOOKUP(A:A,[1]Matriz!$E:$E,[1]Matriz!$BW:$BW)</f>
        <v>0</v>
      </c>
      <c r="E245" s="2" t="str">
        <f ca="1">_xlfn.XLOOKUP(A:A,[1]Matriz!$E:$E,[1]Matriz!$BY:$BY)</f>
        <v>SIN CURSO</v>
      </c>
    </row>
    <row r="246" spans="1:5" hidden="1" x14ac:dyDescent="0.35">
      <c r="A246" s="5" t="s">
        <v>121</v>
      </c>
      <c r="B246" s="9" t="s">
        <v>120</v>
      </c>
      <c r="C246" s="2" t="str">
        <f>_xlfn.XLOOKUP(A:A,[1]Matriz!$E:$E,[1]Matriz!$BU:$BU)</f>
        <v>FASE 4 ACREDITADO CAEX 980E &amp; 930E</v>
      </c>
      <c r="D246" s="3">
        <f>_xlfn.XLOOKUP(A:A,[1]Matriz!$E:$E,[1]Matriz!$BW:$BW)</f>
        <v>46403</v>
      </c>
      <c r="E246" s="2" t="str">
        <f ca="1">_xlfn.XLOOKUP(A:A,[1]Matriz!$E:$E,[1]Matriz!$BY:$BY)</f>
        <v>VIGENTE</v>
      </c>
    </row>
    <row r="247" spans="1:5" hidden="1" x14ac:dyDescent="0.35">
      <c r="A247" s="4" t="s">
        <v>119</v>
      </c>
      <c r="B247" s="4" t="s">
        <v>118</v>
      </c>
      <c r="C247" s="2">
        <f>_xlfn.XLOOKUP(A:A,[1]Matriz!$E:$E,[1]Matriz!$BU:$BU)</f>
        <v>0</v>
      </c>
      <c r="D247" s="3">
        <f>_xlfn.XLOOKUP(A:A,[1]Matriz!$E:$E,[1]Matriz!$BW:$BW)</f>
        <v>0</v>
      </c>
      <c r="E247" s="2" t="str">
        <f ca="1">_xlfn.XLOOKUP(A:A,[1]Matriz!$E:$E,[1]Matriz!$BY:$BY)</f>
        <v>SIN CURSO</v>
      </c>
    </row>
    <row r="248" spans="1:5" hidden="1" x14ac:dyDescent="0.35">
      <c r="A248" s="4" t="s">
        <v>117</v>
      </c>
      <c r="B248" s="4" t="s">
        <v>116</v>
      </c>
      <c r="C248" s="2">
        <f>_xlfn.XLOOKUP(A:A,[1]Matriz!$E:$E,[1]Matriz!$BU:$BU)</f>
        <v>0</v>
      </c>
      <c r="D248" s="3">
        <f>_xlfn.XLOOKUP(A:A,[1]Matriz!$E:$E,[1]Matriz!$BW:$BW)</f>
        <v>0</v>
      </c>
      <c r="E248" s="2" t="str">
        <f ca="1">_xlfn.XLOOKUP(A:A,[1]Matriz!$E:$E,[1]Matriz!$BY:$BY)</f>
        <v>SIN CURSO</v>
      </c>
    </row>
    <row r="249" spans="1:5" hidden="1" x14ac:dyDescent="0.35">
      <c r="A249" s="4" t="s">
        <v>115</v>
      </c>
      <c r="B249" s="4" t="s">
        <v>114</v>
      </c>
      <c r="C249" s="2" t="e">
        <f ca="1">_xlfn.XLOOKUP(A:A,[1]Matriz!$E:$E,[1]Matriz!$BU:$BU)</f>
        <v>#REF!</v>
      </c>
      <c r="D249" s="3">
        <f>_xlfn.XLOOKUP(A:A,[1]Matriz!$E:$E,[1]Matriz!$BW:$BW)</f>
        <v>0</v>
      </c>
      <c r="E249" s="2" t="str">
        <f ca="1">_xlfn.XLOOKUP(A:A,[1]Matriz!$E:$E,[1]Matriz!$BY:$BY)</f>
        <v>SIN CURSO</v>
      </c>
    </row>
    <row r="250" spans="1:5" hidden="1" x14ac:dyDescent="0.35">
      <c r="A250" s="4" t="s">
        <v>113</v>
      </c>
      <c r="B250" s="4" t="s">
        <v>112</v>
      </c>
      <c r="C250" s="2" t="str">
        <f>_xlfn.XLOOKUP(A:A,[1]Matriz!$E:$E,[1]Matriz!$BU:$BU)</f>
        <v>FASE 4 ACREDITADO CAEX 980E &amp; 930E</v>
      </c>
      <c r="D250" s="3">
        <f>_xlfn.XLOOKUP(A:A,[1]Matriz!$E:$E,[1]Matriz!$BW:$BW)</f>
        <v>46403</v>
      </c>
      <c r="E250" s="2" t="str">
        <f ca="1">_xlfn.XLOOKUP(A:A,[1]Matriz!$E:$E,[1]Matriz!$BY:$BY)</f>
        <v>VIGENTE</v>
      </c>
    </row>
    <row r="251" spans="1:5" hidden="1" x14ac:dyDescent="0.35">
      <c r="A251" s="5" t="s">
        <v>111</v>
      </c>
      <c r="B251" s="5" t="s">
        <v>110</v>
      </c>
      <c r="C251" s="2">
        <f>_xlfn.XLOOKUP(A:A,[1]Matriz!$E:$E,[1]Matriz!$BU:$BU)</f>
        <v>0</v>
      </c>
      <c r="D251" s="3">
        <f>_xlfn.XLOOKUP(A:A,[1]Matriz!$E:$E,[1]Matriz!$BW:$BW)</f>
        <v>0</v>
      </c>
      <c r="E251" s="2" t="str">
        <f ca="1">_xlfn.XLOOKUP(A:A,[1]Matriz!$E:$E,[1]Matriz!$BY:$BY)</f>
        <v>SIN CURSO</v>
      </c>
    </row>
    <row r="252" spans="1:5" hidden="1" x14ac:dyDescent="0.35">
      <c r="A252" s="4" t="s">
        <v>109</v>
      </c>
      <c r="B252" s="4" t="s">
        <v>108</v>
      </c>
      <c r="C252" s="2">
        <f>_xlfn.XLOOKUP(A:A,[1]Matriz!$E:$E,[1]Matriz!$BU:$BU)</f>
        <v>0</v>
      </c>
      <c r="D252" s="3">
        <f>_xlfn.XLOOKUP(A:A,[1]Matriz!$E:$E,[1]Matriz!$BW:$BW)</f>
        <v>0</v>
      </c>
      <c r="E252" s="2" t="str">
        <f>_xlfn.XLOOKUP(A:A,[1]Matriz!$E:$E,[1]Matriz!$BY:$BY)</f>
        <v>GESTIONAR</v>
      </c>
    </row>
    <row r="253" spans="1:5" hidden="1" x14ac:dyDescent="0.35">
      <c r="A253" s="4" t="s">
        <v>107</v>
      </c>
      <c r="B253" s="4" t="s">
        <v>106</v>
      </c>
      <c r="C253" s="2" t="str">
        <f>_xlfn.XLOOKUP(A:A,[1]Matriz!$E:$E,[1]Matriz!$BU:$BU)</f>
        <v>FASE 1 MANIPULADOR CAEX 980E Y 930E</v>
      </c>
      <c r="D253" s="3">
        <f>_xlfn.XLOOKUP(A:A,[1]Matriz!$E:$E,[1]Matriz!$BW:$BW)</f>
        <v>46309</v>
      </c>
      <c r="E253" s="2" t="str">
        <f ca="1">_xlfn.XLOOKUP(A:A,[1]Matriz!$E:$E,[1]Matriz!$BY:$BY)</f>
        <v>VIGENTE</v>
      </c>
    </row>
    <row r="254" spans="1:5" hidden="1" x14ac:dyDescent="0.35">
      <c r="A254" s="4" t="s">
        <v>105</v>
      </c>
      <c r="B254" s="4" t="s">
        <v>104</v>
      </c>
      <c r="C254" s="2" t="str">
        <f>_xlfn.XLOOKUP(A:A,[1]Matriz!$E:$E,[1]Matriz!$BU:$BU)</f>
        <v>FASE 3 OPERACIÓN CAEX 980E &amp; 930E</v>
      </c>
      <c r="D254" s="3">
        <f>_xlfn.XLOOKUP(A:A,[1]Matriz!$E:$E,[1]Matriz!$BW:$BW)</f>
        <v>46088</v>
      </c>
      <c r="E254" s="2" t="str">
        <f>_xlfn.XLOOKUP(A:A,[1]Matriz!$E:$E,[1]Matriz!$BY:$BY)</f>
        <v>GESTIONAR</v>
      </c>
    </row>
    <row r="255" spans="1:5" hidden="1" x14ac:dyDescent="0.35">
      <c r="A255" s="4" t="s">
        <v>103</v>
      </c>
      <c r="B255" s="4" t="s">
        <v>102</v>
      </c>
      <c r="C255" s="2" t="str">
        <f>_xlfn.XLOOKUP(A:A,[1]Matriz!$E:$E,[1]Matriz!$BU:$BU)</f>
        <v>CAL237477</v>
      </c>
      <c r="D255" s="3">
        <f>_xlfn.XLOOKUP(A:A,[1]Matriz!$E:$E,[1]Matriz!$BW:$BW)</f>
        <v>46863</v>
      </c>
      <c r="E255" s="2" t="str">
        <f ca="1">_xlfn.XLOOKUP(A:A,[1]Matriz!$E:$E,[1]Matriz!$BY:$BY)</f>
        <v>VIGENTE</v>
      </c>
    </row>
    <row r="256" spans="1:5" hidden="1" x14ac:dyDescent="0.35">
      <c r="A256" s="4" t="s">
        <v>101</v>
      </c>
      <c r="B256" s="4" t="s">
        <v>100</v>
      </c>
      <c r="C256" s="2">
        <f>_xlfn.XLOOKUP(A:A,[1]Matriz!$E:$E,[1]Matriz!$BU:$BU)</f>
        <v>0</v>
      </c>
      <c r="D256" s="3">
        <f>_xlfn.XLOOKUP(A:A,[1]Matriz!$E:$E,[1]Matriz!$BW:$BW)</f>
        <v>0</v>
      </c>
      <c r="E256" s="2" t="str">
        <f ca="1">_xlfn.XLOOKUP(A:A,[1]Matriz!$E:$E,[1]Matriz!$BY:$BY)</f>
        <v>SIN CURSO</v>
      </c>
    </row>
    <row r="257" spans="1:5" hidden="1" x14ac:dyDescent="0.35">
      <c r="A257" s="4" t="s">
        <v>99</v>
      </c>
      <c r="B257" s="4" t="s">
        <v>98</v>
      </c>
      <c r="C257" s="2">
        <f>_xlfn.XLOOKUP(A:A,[1]Matriz!$E:$E,[1]Matriz!$BU:$BU)</f>
        <v>0</v>
      </c>
      <c r="D257" s="3">
        <f>_xlfn.XLOOKUP(A:A,[1]Matriz!$E:$E,[1]Matriz!$BW:$BW)</f>
        <v>0</v>
      </c>
      <c r="E257" s="2" t="str">
        <f ca="1">_xlfn.XLOOKUP(A:A,[1]Matriz!$E:$E,[1]Matriz!$BY:$BY)</f>
        <v>SIN CURSO</v>
      </c>
    </row>
    <row r="258" spans="1:5" hidden="1" x14ac:dyDescent="0.35">
      <c r="A258" s="4" t="s">
        <v>97</v>
      </c>
      <c r="B258" s="4" t="s">
        <v>96</v>
      </c>
      <c r="C258" s="2">
        <f>_xlfn.XLOOKUP(A:A,[1]Matriz!$E:$E,[1]Matriz!$BU:$BU)</f>
        <v>0</v>
      </c>
      <c r="D258" s="3">
        <f>_xlfn.XLOOKUP(A:A,[1]Matriz!$E:$E,[1]Matriz!$BW:$BW)</f>
        <v>0</v>
      </c>
      <c r="E258" s="2" t="str">
        <f>_xlfn.XLOOKUP(A:A,[1]Matriz!$E:$E,[1]Matriz!$BY:$BY)</f>
        <v>GESTIONAR</v>
      </c>
    </row>
    <row r="259" spans="1:5" hidden="1" x14ac:dyDescent="0.35">
      <c r="A259" s="5" t="s">
        <v>95</v>
      </c>
      <c r="B259" s="5" t="s">
        <v>94</v>
      </c>
      <c r="C259" s="2" t="str">
        <f>_xlfn.XLOOKUP(A:A,[1]Matriz!$E:$E,[1]Matriz!$BU:$BU)</f>
        <v>FASE 4 ACREDITADO CAEX 980E &amp; 930E</v>
      </c>
      <c r="D259" s="3">
        <f>_xlfn.XLOOKUP(A:A,[1]Matriz!$E:$E,[1]Matriz!$BW:$BW)</f>
        <v>46403</v>
      </c>
      <c r="E259" s="2" t="str">
        <f ca="1">_xlfn.XLOOKUP(A:A,[1]Matriz!$E:$E,[1]Matriz!$BY:$BY)</f>
        <v>VIGENTE</v>
      </c>
    </row>
    <row r="260" spans="1:5" hidden="1" x14ac:dyDescent="0.35">
      <c r="A260" s="5" t="s">
        <v>93</v>
      </c>
      <c r="B260" s="5" t="s">
        <v>92</v>
      </c>
      <c r="C260" s="2">
        <f>_xlfn.XLOOKUP(A:A,[1]Matriz!$E:$E,[1]Matriz!$BU:$BU)</f>
        <v>0</v>
      </c>
      <c r="D260" s="3">
        <f>_xlfn.XLOOKUP(A:A,[1]Matriz!$E:$E,[1]Matriz!$BW:$BW)</f>
        <v>0</v>
      </c>
      <c r="E260" s="2" t="str">
        <f ca="1">_xlfn.XLOOKUP(A:A,[1]Matriz!$E:$E,[1]Matriz!$BY:$BY)</f>
        <v>SIN CURSO</v>
      </c>
    </row>
    <row r="261" spans="1:5" hidden="1" x14ac:dyDescent="0.35">
      <c r="A261" s="5" t="s">
        <v>91</v>
      </c>
      <c r="B261" s="5" t="s">
        <v>90</v>
      </c>
      <c r="C261" s="2">
        <f>_xlfn.XLOOKUP(A:A,[1]Matriz!$E:$E,[1]Matriz!$BU:$BU)</f>
        <v>0</v>
      </c>
      <c r="D261" s="3">
        <f>_xlfn.XLOOKUP(A:A,[1]Matriz!$E:$E,[1]Matriz!$BW:$BW)</f>
        <v>0</v>
      </c>
      <c r="E261" s="2" t="str">
        <f ca="1">_xlfn.XLOOKUP(A:A,[1]Matriz!$E:$E,[1]Matriz!$BY:$BY)</f>
        <v>SIN CURSO</v>
      </c>
    </row>
    <row r="262" spans="1:5" hidden="1" x14ac:dyDescent="0.35">
      <c r="A262" s="5" t="s">
        <v>89</v>
      </c>
      <c r="B262" s="5" t="s">
        <v>88</v>
      </c>
      <c r="C262" s="2" t="str">
        <f>_xlfn.XLOOKUP(A:A,[1]Matriz!$E:$E,[1]Matriz!$BU:$BU)</f>
        <v>CAL237477</v>
      </c>
      <c r="D262" s="3">
        <f>_xlfn.XLOOKUP(A:A,[1]Matriz!$E:$E,[1]Matriz!$BW:$BW)</f>
        <v>46863</v>
      </c>
      <c r="E262" s="2" t="str">
        <f ca="1">_xlfn.XLOOKUP(A:A,[1]Matriz!$E:$E,[1]Matriz!$BY:$BY)</f>
        <v>VIGENTE</v>
      </c>
    </row>
    <row r="263" spans="1:5" hidden="1" x14ac:dyDescent="0.35">
      <c r="A263" s="5" t="s">
        <v>87</v>
      </c>
      <c r="B263" s="10" t="s">
        <v>86</v>
      </c>
      <c r="C263" s="2" t="str">
        <f>_xlfn.XLOOKUP(A:A,[1]Matriz!$E:$E,[1]Matriz!$BU:$BU)</f>
        <v>FASE 4 ACREDITADO CAEX 980E &amp; 930E</v>
      </c>
      <c r="D263" s="3">
        <f>_xlfn.XLOOKUP(A:A,[1]Matriz!$E:$E,[1]Matriz!$BW:$BW)</f>
        <v>46410</v>
      </c>
      <c r="E263" s="2" t="str">
        <f ca="1">_xlfn.XLOOKUP(A:A,[1]Matriz!$E:$E,[1]Matriz!$BY:$BY)</f>
        <v>VIGENTE</v>
      </c>
    </row>
    <row r="264" spans="1:5" hidden="1" x14ac:dyDescent="0.35">
      <c r="A264" s="5" t="s">
        <v>85</v>
      </c>
      <c r="B264" s="5" t="s">
        <v>84</v>
      </c>
      <c r="C264" s="2">
        <f>_xlfn.XLOOKUP(A:A,[1]Matriz!$E:$E,[1]Matriz!$BU:$BU)</f>
        <v>0</v>
      </c>
      <c r="D264" s="3">
        <f>_xlfn.XLOOKUP(A:A,[1]Matriz!$E:$E,[1]Matriz!$BW:$BW)</f>
        <v>0</v>
      </c>
      <c r="E264" s="2" t="str">
        <f ca="1">_xlfn.XLOOKUP(A:A,[1]Matriz!$E:$E,[1]Matriz!$BY:$BY)</f>
        <v>SIN CURSO</v>
      </c>
    </row>
    <row r="265" spans="1:5" hidden="1" x14ac:dyDescent="0.35">
      <c r="A265" s="5" t="s">
        <v>83</v>
      </c>
      <c r="B265" s="5" t="s">
        <v>82</v>
      </c>
      <c r="C265" s="2">
        <f>_xlfn.XLOOKUP(A:A,[1]Matriz!$E:$E,[1]Matriz!$BU:$BU)</f>
        <v>0</v>
      </c>
      <c r="D265" s="3">
        <f>_xlfn.XLOOKUP(A:A,[1]Matriz!$E:$E,[1]Matriz!$BW:$BW)</f>
        <v>0</v>
      </c>
      <c r="E265" s="2" t="str">
        <f ca="1">_xlfn.XLOOKUP(A:A,[1]Matriz!$E:$E,[1]Matriz!$BY:$BY)</f>
        <v>SIN CURSO</v>
      </c>
    </row>
    <row r="266" spans="1:5" hidden="1" x14ac:dyDescent="0.35">
      <c r="A266" s="6" t="s">
        <v>81</v>
      </c>
      <c r="B266" s="5" t="s">
        <v>80</v>
      </c>
      <c r="C266" s="2" t="str">
        <f>_xlfn.XLOOKUP(A:A,[1]Matriz!$E:$E,[1]Matriz!$BU:$BU)</f>
        <v>CAL237477</v>
      </c>
      <c r="D266" s="3">
        <f>_xlfn.XLOOKUP(A:A,[1]Matriz!$E:$E,[1]Matriz!$BW:$BW)</f>
        <v>46863</v>
      </c>
      <c r="E266" s="2" t="str">
        <f ca="1">_xlfn.XLOOKUP(A:A,[1]Matriz!$E:$E,[1]Matriz!$BY:$BY)</f>
        <v>VIGENTE</v>
      </c>
    </row>
    <row r="267" spans="1:5" hidden="1" x14ac:dyDescent="0.35">
      <c r="A267" s="4" t="s">
        <v>79</v>
      </c>
      <c r="B267" s="4" t="s">
        <v>78</v>
      </c>
      <c r="C267" s="2">
        <f>_xlfn.XLOOKUP(A:A,[1]Matriz!$E:$E,[1]Matriz!$BU:$BU)</f>
        <v>0</v>
      </c>
      <c r="D267" s="3">
        <f>_xlfn.XLOOKUP(A:A,[1]Matriz!$E:$E,[1]Matriz!$BW:$BW)</f>
        <v>0</v>
      </c>
      <c r="E267" s="2" t="str">
        <f ca="1">_xlfn.XLOOKUP(A:A,[1]Matriz!$E:$E,[1]Matriz!$BY:$BY)</f>
        <v>SIN CURSO</v>
      </c>
    </row>
    <row r="268" spans="1:5" hidden="1" x14ac:dyDescent="0.35">
      <c r="A268" s="5" t="s">
        <v>77</v>
      </c>
      <c r="B268" s="5" t="s">
        <v>76</v>
      </c>
      <c r="C268" s="2">
        <f>_xlfn.XLOOKUP(A:A,[1]Matriz!$E:$E,[1]Matriz!$BU:$BU)</f>
        <v>0</v>
      </c>
      <c r="D268" s="3">
        <f>_xlfn.XLOOKUP(A:A,[1]Matriz!$E:$E,[1]Matriz!$BW:$BW)</f>
        <v>0</v>
      </c>
      <c r="E268" s="2" t="str">
        <f ca="1">_xlfn.XLOOKUP(A:A,[1]Matriz!$E:$E,[1]Matriz!$BY:$BY)</f>
        <v>SIN CURSO</v>
      </c>
    </row>
    <row r="269" spans="1:5" hidden="1" x14ac:dyDescent="0.35">
      <c r="A269" s="5" t="s">
        <v>75</v>
      </c>
      <c r="B269" s="5" t="s">
        <v>74</v>
      </c>
      <c r="C269" s="2">
        <f>_xlfn.XLOOKUP(A:A,[1]Matriz!$E:$E,[1]Matriz!$BU:$BU)</f>
        <v>0</v>
      </c>
      <c r="D269" s="3">
        <f>_xlfn.XLOOKUP(A:A,[1]Matriz!$E:$E,[1]Matriz!$BW:$BW)</f>
        <v>0</v>
      </c>
      <c r="E269" s="2" t="str">
        <f ca="1">_xlfn.XLOOKUP(A:A,[1]Matriz!$E:$E,[1]Matriz!$BY:$BY)</f>
        <v>SIN CURSO</v>
      </c>
    </row>
    <row r="270" spans="1:5" hidden="1" x14ac:dyDescent="0.35">
      <c r="A270" s="5" t="s">
        <v>73</v>
      </c>
      <c r="B270" s="5" t="s">
        <v>72</v>
      </c>
      <c r="C270" s="2">
        <f>_xlfn.XLOOKUP(A:A,[1]Matriz!$E:$E,[1]Matriz!$BU:$BU)</f>
        <v>0</v>
      </c>
      <c r="D270" s="3">
        <f>_xlfn.XLOOKUP(A:A,[1]Matriz!$E:$E,[1]Matriz!$BW:$BW)</f>
        <v>0</v>
      </c>
      <c r="E270" s="2" t="str">
        <f ca="1">_xlfn.XLOOKUP(A:A,[1]Matriz!$E:$E,[1]Matriz!$BY:$BY)</f>
        <v>SIN CURSO</v>
      </c>
    </row>
    <row r="271" spans="1:5" hidden="1" x14ac:dyDescent="0.35">
      <c r="A271" s="5" t="s">
        <v>71</v>
      </c>
      <c r="B271" s="5" t="s">
        <v>70</v>
      </c>
      <c r="C271" s="2">
        <f>_xlfn.XLOOKUP(A:A,[1]Matriz!$E:$E,[1]Matriz!$BU:$BU)</f>
        <v>0</v>
      </c>
      <c r="D271" s="3">
        <f>_xlfn.XLOOKUP(A:A,[1]Matriz!$E:$E,[1]Matriz!$BW:$BW)</f>
        <v>0</v>
      </c>
      <c r="E271" s="2" t="str">
        <f ca="1">_xlfn.XLOOKUP(A:A,[1]Matriz!$E:$E,[1]Matriz!$BY:$BY)</f>
        <v>SIN CURSO</v>
      </c>
    </row>
    <row r="272" spans="1:5" hidden="1" x14ac:dyDescent="0.35">
      <c r="A272" s="5" t="s">
        <v>69</v>
      </c>
      <c r="B272" s="5" t="s">
        <v>68</v>
      </c>
      <c r="C272" s="2" t="str">
        <f>_xlfn.XLOOKUP(A:A,[1]Matriz!$E:$E,[1]Matriz!$BU:$BU)</f>
        <v>FASE 4 ACREDITADO CAEX 980E &amp; 930E</v>
      </c>
      <c r="D272" s="3">
        <f>_xlfn.XLOOKUP(A:A,[1]Matriz!$E:$E,[1]Matriz!$BW:$BW)</f>
        <v>46403</v>
      </c>
      <c r="E272" s="2" t="str">
        <f ca="1">_xlfn.XLOOKUP(A:A,[1]Matriz!$E:$E,[1]Matriz!$BY:$BY)</f>
        <v>VIGENTE</v>
      </c>
    </row>
    <row r="273" spans="1:5" hidden="1" x14ac:dyDescent="0.35">
      <c r="A273" s="5" t="s">
        <v>67</v>
      </c>
      <c r="B273" s="10" t="s">
        <v>66</v>
      </c>
      <c r="C273" s="2">
        <f>_xlfn.XLOOKUP(A:A,[1]Matriz!$E:$E,[1]Matriz!$BU:$BU)</f>
        <v>0</v>
      </c>
      <c r="D273" s="3">
        <f>_xlfn.XLOOKUP(A:A,[1]Matriz!$E:$E,[1]Matriz!$BW:$BW)</f>
        <v>0</v>
      </c>
      <c r="E273" s="2" t="str">
        <f>_xlfn.XLOOKUP(A:A,[1]Matriz!$E:$E,[1]Matriz!$BY:$BY)</f>
        <v>GESTIONAR</v>
      </c>
    </row>
    <row r="274" spans="1:5" hidden="1" x14ac:dyDescent="0.35">
      <c r="A274" s="5" t="s">
        <v>65</v>
      </c>
      <c r="B274" s="5" t="s">
        <v>64</v>
      </c>
      <c r="C274" s="2" t="str">
        <f>_xlfn.XLOOKUP(A:A,[1]Matriz!$E:$E,[1]Matriz!$BU:$BU)</f>
        <v>FASE 4 ACREDITADO CAEX 980E &amp; 930E</v>
      </c>
      <c r="D274" s="3">
        <f>_xlfn.XLOOKUP(A:A,[1]Matriz!$E:$E,[1]Matriz!$BW:$BW)</f>
        <v>46403</v>
      </c>
      <c r="E274" s="2" t="str">
        <f ca="1">_xlfn.XLOOKUP(A:A,[1]Matriz!$E:$E,[1]Matriz!$BY:$BY)</f>
        <v>VIGENTE</v>
      </c>
    </row>
    <row r="275" spans="1:5" hidden="1" x14ac:dyDescent="0.35">
      <c r="A275" s="5" t="s">
        <v>63</v>
      </c>
      <c r="B275" s="5" t="s">
        <v>62</v>
      </c>
      <c r="C275" s="2" t="str">
        <f>_xlfn.XLOOKUP(A:A,[1]Matriz!$E:$E,[1]Matriz!$BU:$BU)</f>
        <v>PENDIENTE CERTIFICADO POR MODIFICACIÓN</v>
      </c>
      <c r="D275" s="3">
        <f>_xlfn.XLOOKUP(A:A,[1]Matriz!$E:$E,[1]Matriz!$BW:$BW)</f>
        <v>46880</v>
      </c>
      <c r="E275" s="2" t="str">
        <f ca="1">_xlfn.XLOOKUP(A:A,[1]Matriz!$E:$E,[1]Matriz!$BY:$BY)</f>
        <v>VIGENTE</v>
      </c>
    </row>
    <row r="276" spans="1:5" hidden="1" x14ac:dyDescent="0.35">
      <c r="A276" s="5" t="s">
        <v>61</v>
      </c>
      <c r="B276" s="5" t="s">
        <v>60</v>
      </c>
      <c r="C276" s="2" t="e">
        <f ca="1">_xlfn.XLOOKUP(A:A,[1]Matriz!$E:$E,[1]Matriz!$BU:$BU)</f>
        <v>#REF!</v>
      </c>
      <c r="D276" s="3">
        <f>_xlfn.XLOOKUP(A:A,[1]Matriz!$E:$E,[1]Matriz!$BW:$BW)</f>
        <v>0</v>
      </c>
      <c r="E276" s="2" t="str">
        <f ca="1">_xlfn.XLOOKUP(A:A,[1]Matriz!$E:$E,[1]Matriz!$BY:$BY)</f>
        <v>SIN CURSO</v>
      </c>
    </row>
    <row r="277" spans="1:5" hidden="1" x14ac:dyDescent="0.35">
      <c r="A277" s="5" t="s">
        <v>59</v>
      </c>
      <c r="B277" s="5" t="s">
        <v>58</v>
      </c>
      <c r="C277" s="2" t="e">
        <f ca="1">_xlfn.XLOOKUP(A:A,[1]Matriz!$E:$E,[1]Matriz!$BU:$BU)</f>
        <v>#REF!</v>
      </c>
      <c r="D277" s="3">
        <f>_xlfn.XLOOKUP(A:A,[1]Matriz!$E:$E,[1]Matriz!$BW:$BW)</f>
        <v>0</v>
      </c>
      <c r="E277" s="2" t="str">
        <f ca="1">_xlfn.XLOOKUP(A:A,[1]Matriz!$E:$E,[1]Matriz!$BY:$BY)</f>
        <v>SIN CURSO</v>
      </c>
    </row>
    <row r="278" spans="1:5" hidden="1" x14ac:dyDescent="0.35">
      <c r="A278" s="5" t="s">
        <v>57</v>
      </c>
      <c r="B278" s="5" t="s">
        <v>56</v>
      </c>
      <c r="C278" s="2" t="str">
        <f>_xlfn.XLOOKUP(A:A,[1]Matriz!$E:$E,[1]Matriz!$BU:$BU)</f>
        <v>FASE 4 ACREDITADO CAEX 980E &amp; 930E</v>
      </c>
      <c r="D278" s="3">
        <f>_xlfn.XLOOKUP(A:A,[1]Matriz!$E:$E,[1]Matriz!$BW:$BW)</f>
        <v>46403</v>
      </c>
      <c r="E278" s="2" t="str">
        <f ca="1">_xlfn.XLOOKUP(A:A,[1]Matriz!$E:$E,[1]Matriz!$BY:$BY)</f>
        <v>VIGENTE</v>
      </c>
    </row>
    <row r="279" spans="1:5" hidden="1" x14ac:dyDescent="0.35">
      <c r="A279" s="5" t="s">
        <v>55</v>
      </c>
      <c r="B279" s="5" t="s">
        <v>54</v>
      </c>
      <c r="C279" s="2" t="e">
        <f ca="1">_xlfn.XLOOKUP(A:A,[1]Matriz!$E:$E,[1]Matriz!$BU:$BU)</f>
        <v>#REF!</v>
      </c>
      <c r="D279" s="3">
        <f>_xlfn.XLOOKUP(A:A,[1]Matriz!$E:$E,[1]Matriz!$BW:$BW)</f>
        <v>0</v>
      </c>
      <c r="E279" s="2" t="str">
        <f ca="1">_xlfn.XLOOKUP(A:A,[1]Matriz!$E:$E,[1]Matriz!$BY:$BY)</f>
        <v>SIN CURSO</v>
      </c>
    </row>
    <row r="280" spans="1:5" hidden="1" x14ac:dyDescent="0.35">
      <c r="A280" s="4" t="s">
        <v>53</v>
      </c>
      <c r="B280" s="4" t="s">
        <v>52</v>
      </c>
      <c r="C280" s="2" t="str">
        <f>_xlfn.XLOOKUP(A:A,[1]Matriz!$E:$E,[1]Matriz!$BU:$BU)</f>
        <v>CAL237477</v>
      </c>
      <c r="D280" s="3">
        <f>_xlfn.XLOOKUP(A:A,[1]Matriz!$E:$E,[1]Matriz!$BW:$BW)</f>
        <v>46863</v>
      </c>
      <c r="E280" s="2" t="str">
        <f ca="1">_xlfn.XLOOKUP(A:A,[1]Matriz!$E:$E,[1]Matriz!$BY:$BY)</f>
        <v>VIGENTE</v>
      </c>
    </row>
    <row r="281" spans="1:5" hidden="1" x14ac:dyDescent="0.35">
      <c r="A281" s="5" t="s">
        <v>51</v>
      </c>
      <c r="B281" s="5" t="s">
        <v>50</v>
      </c>
      <c r="C281" s="2">
        <f>_xlfn.XLOOKUP(A:A,[1]Matriz!$E:$E,[1]Matriz!$BU:$BU)</f>
        <v>0</v>
      </c>
      <c r="D281" s="3">
        <f>_xlfn.XLOOKUP(A:A,[1]Matriz!$E:$E,[1]Matriz!$BW:$BW)</f>
        <v>0</v>
      </c>
      <c r="E281" s="2" t="str">
        <f ca="1">_xlfn.XLOOKUP(A:A,[1]Matriz!$E:$E,[1]Matriz!$BY:$BY)</f>
        <v>SIN CURSO</v>
      </c>
    </row>
    <row r="282" spans="1:5" hidden="1" x14ac:dyDescent="0.35">
      <c r="A282" s="5" t="s">
        <v>49</v>
      </c>
      <c r="B282" s="5" t="s">
        <v>48</v>
      </c>
      <c r="C282" s="2">
        <f>_xlfn.XLOOKUP(A:A,[1]Matriz!$E:$E,[1]Matriz!$BU:$BU)</f>
        <v>0</v>
      </c>
      <c r="D282" s="3">
        <f>_xlfn.XLOOKUP(A:A,[1]Matriz!$E:$E,[1]Matriz!$BW:$BW)</f>
        <v>0</v>
      </c>
      <c r="E282" s="2" t="str">
        <f ca="1">_xlfn.XLOOKUP(A:A,[1]Matriz!$E:$E,[1]Matriz!$BY:$BY)</f>
        <v>SIN CURSO</v>
      </c>
    </row>
    <row r="283" spans="1:5" hidden="1" x14ac:dyDescent="0.35">
      <c r="A283" s="5" t="s">
        <v>47</v>
      </c>
      <c r="B283" s="5" t="s">
        <v>46</v>
      </c>
      <c r="C283" s="2">
        <f>_xlfn.XLOOKUP(A:A,[1]Matriz!$E:$E,[1]Matriz!$BU:$BU)</f>
        <v>0</v>
      </c>
      <c r="D283" s="3">
        <f>_xlfn.XLOOKUP(A:A,[1]Matriz!$E:$E,[1]Matriz!$BW:$BW)</f>
        <v>0</v>
      </c>
      <c r="E283" s="2" t="str">
        <f ca="1">_xlfn.XLOOKUP(A:A,[1]Matriz!$E:$E,[1]Matriz!$BY:$BY)</f>
        <v>SIN CURSO</v>
      </c>
    </row>
    <row r="284" spans="1:5" hidden="1" x14ac:dyDescent="0.35">
      <c r="A284" s="5" t="s">
        <v>45</v>
      </c>
      <c r="B284" s="5" t="s">
        <v>44</v>
      </c>
      <c r="C284" s="2" t="str">
        <f>_xlfn.XLOOKUP(A:A,[1]Matriz!$E:$E,[1]Matriz!$BU:$BU)</f>
        <v>FASE 1 MANIPULADOR CAEX 980E Y 930E/SIN LICENCIA</v>
      </c>
      <c r="D284" s="3">
        <f>_xlfn.XLOOKUP(A:A,[1]Matriz!$E:$E,[1]Matriz!$BW:$BW)</f>
        <v>46403</v>
      </c>
      <c r="E284" s="2" t="str">
        <f ca="1">_xlfn.XLOOKUP(A:A,[1]Matriz!$E:$E,[1]Matriz!$BY:$BY)</f>
        <v>VIGENTE</v>
      </c>
    </row>
    <row r="285" spans="1:5" hidden="1" x14ac:dyDescent="0.35">
      <c r="A285" s="5" t="s">
        <v>43</v>
      </c>
      <c r="B285" s="5" t="s">
        <v>42</v>
      </c>
      <c r="C285" s="2">
        <f>_xlfn.XLOOKUP(A:A,[1]Matriz!$E:$E,[1]Matriz!$BU:$BU)</f>
        <v>0</v>
      </c>
      <c r="D285" s="3">
        <f>_xlfn.XLOOKUP(A:A,[1]Matriz!$E:$E,[1]Matriz!$BW:$BW)</f>
        <v>0</v>
      </c>
      <c r="E285" s="2" t="str">
        <f ca="1">_xlfn.XLOOKUP(A:A,[1]Matriz!$E:$E,[1]Matriz!$BY:$BY)</f>
        <v>SIN CURSO</v>
      </c>
    </row>
    <row r="286" spans="1:5" hidden="1" x14ac:dyDescent="0.35">
      <c r="A286" s="5" t="s">
        <v>41</v>
      </c>
      <c r="B286" s="9" t="s">
        <v>40</v>
      </c>
      <c r="C286" s="2">
        <f>_xlfn.XLOOKUP(A:A,[1]Matriz!$E:$E,[1]Matriz!$BU:$BU)</f>
        <v>0</v>
      </c>
      <c r="D286" s="3">
        <f>_xlfn.XLOOKUP(A:A,[1]Matriz!$E:$E,[1]Matriz!$BW:$BW)</f>
        <v>0</v>
      </c>
      <c r="E286" s="2" t="str">
        <f ca="1">_xlfn.XLOOKUP(A:A,[1]Matriz!$E:$E,[1]Matriz!$BY:$BY)</f>
        <v>SIN CURSO</v>
      </c>
    </row>
    <row r="287" spans="1:5" hidden="1" x14ac:dyDescent="0.35">
      <c r="A287" s="5" t="s">
        <v>39</v>
      </c>
      <c r="B287" s="5" t="s">
        <v>38</v>
      </c>
      <c r="C287" s="2">
        <f>_xlfn.XLOOKUP(A:A,[1]Matriz!$E:$E,[1]Matriz!$BU:$BU)</f>
        <v>0</v>
      </c>
      <c r="D287" s="3">
        <f>_xlfn.XLOOKUP(A:A,[1]Matriz!$E:$E,[1]Matriz!$BW:$BW)</f>
        <v>0</v>
      </c>
      <c r="E287" s="2" t="str">
        <f>_xlfn.XLOOKUP(A:A,[1]Matriz!$E:$E,[1]Matriz!$BY:$BY)</f>
        <v>SIN CURSO</v>
      </c>
    </row>
    <row r="288" spans="1:5" hidden="1" x14ac:dyDescent="0.35">
      <c r="A288" s="5" t="s">
        <v>37</v>
      </c>
      <c r="B288" s="5" t="s">
        <v>36</v>
      </c>
      <c r="C288" s="2" t="str">
        <f>_xlfn.XLOOKUP(A:A,[1]Matriz!$E:$E,[1]Matriz!$BU:$BU)</f>
        <v>FASE 1 MANIPULADOR CAEX 980E Y 930E/SIN LICENCIA</v>
      </c>
      <c r="D288" s="3">
        <f>_xlfn.XLOOKUP(A:A,[1]Matriz!$E:$E,[1]Matriz!$BW:$BW)</f>
        <v>46309</v>
      </c>
      <c r="E288" s="2" t="str">
        <f ca="1">_xlfn.XLOOKUP(A:A,[1]Matriz!$E:$E,[1]Matriz!$BY:$BY)</f>
        <v>VIGENTE</v>
      </c>
    </row>
    <row r="289" spans="1:5" hidden="1" x14ac:dyDescent="0.35">
      <c r="A289" s="5" t="s">
        <v>35</v>
      </c>
      <c r="B289" s="5" t="s">
        <v>34</v>
      </c>
      <c r="C289" s="2" t="e">
        <f ca="1">_xlfn.XLOOKUP(A:A,[1]Matriz!$E:$E,[1]Matriz!$BU:$BU)</f>
        <v>#REF!</v>
      </c>
      <c r="D289" s="3">
        <f>_xlfn.XLOOKUP(A:A,[1]Matriz!$E:$E,[1]Matriz!$BW:$BW)</f>
        <v>0</v>
      </c>
      <c r="E289" s="2">
        <f>_xlfn.XLOOKUP(A:A,[1]Matriz!$E:$E,[1]Matriz!$BY:$BY)</f>
        <v>0</v>
      </c>
    </row>
    <row r="290" spans="1:5" hidden="1" x14ac:dyDescent="0.35">
      <c r="A290" s="5" t="s">
        <v>33</v>
      </c>
      <c r="B290" s="5" t="s">
        <v>32</v>
      </c>
      <c r="C290" s="2" t="str">
        <f>_xlfn.XLOOKUP(A:A,[1]Matriz!$E:$E,[1]Matriz!$BU:$BU)</f>
        <v>FASE 3 OPERACIÓN CAEX 980E &amp; 930E</v>
      </c>
      <c r="D290" s="3">
        <f>_xlfn.XLOOKUP(A:A,[1]Matriz!$E:$E,[1]Matriz!$BW:$BW)</f>
        <v>46169</v>
      </c>
      <c r="E290" s="2" t="str">
        <f ca="1">_xlfn.XLOOKUP(A:A,[1]Matriz!$E:$E,[1]Matriz!$BY:$BY)</f>
        <v>VENCIDO</v>
      </c>
    </row>
    <row r="291" spans="1:5" hidden="1" x14ac:dyDescent="0.35">
      <c r="A291" s="5" t="s">
        <v>31</v>
      </c>
      <c r="B291" s="9" t="s">
        <v>30</v>
      </c>
      <c r="C291" s="2">
        <f>_xlfn.XLOOKUP(A:A,[1]Matriz!$E:$E,[1]Matriz!$BU:$BU)</f>
        <v>0</v>
      </c>
      <c r="D291" s="3">
        <f>_xlfn.XLOOKUP(A:A,[1]Matriz!$E:$E,[1]Matriz!$BW:$BW)</f>
        <v>0</v>
      </c>
      <c r="E291" s="2" t="str">
        <f ca="1">_xlfn.XLOOKUP(A:A,[1]Matriz!$E:$E,[1]Matriz!$BY:$BY)</f>
        <v>SIN CURSO</v>
      </c>
    </row>
    <row r="292" spans="1:5" hidden="1" x14ac:dyDescent="0.35">
      <c r="A292" s="5" t="s">
        <v>29</v>
      </c>
      <c r="B292" s="5" t="s">
        <v>28</v>
      </c>
      <c r="C292" s="2">
        <f>_xlfn.XLOOKUP(A:A,[1]Matriz!$E:$E,[1]Matriz!$BU:$BU)</f>
        <v>0</v>
      </c>
      <c r="D292" s="3">
        <f>_xlfn.XLOOKUP(A:A,[1]Matriz!$E:$E,[1]Matriz!$BW:$BW)</f>
        <v>0</v>
      </c>
      <c r="E292" s="2" t="str">
        <f ca="1">_xlfn.XLOOKUP(A:A,[1]Matriz!$E:$E,[1]Matriz!$BY:$BY)</f>
        <v>SIN CURSO</v>
      </c>
    </row>
    <row r="293" spans="1:5" hidden="1" x14ac:dyDescent="0.35">
      <c r="A293" s="8" t="s">
        <v>27</v>
      </c>
      <c r="B293" s="5" t="s">
        <v>26</v>
      </c>
      <c r="C293" s="2" t="str">
        <f>_xlfn.XLOOKUP(A:A,[1]Matriz!$E:$E,[1]Matriz!$BU:$BU)</f>
        <v>PENDIENTE CERTIFICADO POR MODIFICACIÓN</v>
      </c>
      <c r="D293" s="3">
        <f>_xlfn.XLOOKUP(A:A,[1]Matriz!$E:$E,[1]Matriz!$BW:$BW)</f>
        <v>46880</v>
      </c>
      <c r="E293" s="2" t="str">
        <f ca="1">_xlfn.XLOOKUP(A:A,[1]Matriz!$E:$E,[1]Matriz!$BY:$BY)</f>
        <v>VIGENTE</v>
      </c>
    </row>
    <row r="294" spans="1:5" hidden="1" x14ac:dyDescent="0.35">
      <c r="A294" s="5" t="s">
        <v>25</v>
      </c>
      <c r="B294" s="5" t="s">
        <v>24</v>
      </c>
      <c r="C294" s="2">
        <f>_xlfn.XLOOKUP(A:A,[1]Matriz!$E:$E,[1]Matriz!$BU:$BU)</f>
        <v>0</v>
      </c>
      <c r="D294" s="3">
        <f>_xlfn.XLOOKUP(A:A,[1]Matriz!$E:$E,[1]Matriz!$BW:$BW)</f>
        <v>0</v>
      </c>
      <c r="E294" s="2" t="str">
        <f ca="1">_xlfn.XLOOKUP(A:A,[1]Matriz!$E:$E,[1]Matriz!$BY:$BY)</f>
        <v>SIN CURSO</v>
      </c>
    </row>
    <row r="295" spans="1:5" hidden="1" x14ac:dyDescent="0.35">
      <c r="A295" s="5" t="s">
        <v>23</v>
      </c>
      <c r="B295" s="5" t="s">
        <v>22</v>
      </c>
      <c r="C295" s="2" t="e">
        <f ca="1">_xlfn.XLOOKUP(A:A,[1]Matriz!$E:$E,[1]Matriz!$BU:$BU)</f>
        <v>#REF!</v>
      </c>
      <c r="D295" s="3">
        <f>_xlfn.XLOOKUP(A:A,[1]Matriz!$E:$E,[1]Matriz!$BW:$BW)</f>
        <v>0</v>
      </c>
      <c r="E295" s="2" t="str">
        <f ca="1">_xlfn.XLOOKUP(A:A,[1]Matriz!$E:$E,[1]Matriz!$BY:$BY)</f>
        <v>SIN CURSO</v>
      </c>
    </row>
    <row r="296" spans="1:5" hidden="1" x14ac:dyDescent="0.35">
      <c r="A296" s="5" t="s">
        <v>21</v>
      </c>
      <c r="B296" s="5" t="s">
        <v>20</v>
      </c>
      <c r="C296" s="2" t="str">
        <f>_xlfn.XLOOKUP(A:A,[1]Matriz!$E:$E,[1]Matriz!$BU:$BU)</f>
        <v>PENDIENTE CERTIFICADO POR MODIFICACIÓN</v>
      </c>
      <c r="D296" s="3">
        <f>_xlfn.XLOOKUP(A:A,[1]Matriz!$E:$E,[1]Matriz!$BW:$BW)</f>
        <v>46880</v>
      </c>
      <c r="E296" s="2" t="str">
        <f ca="1">_xlfn.XLOOKUP(A:A,[1]Matriz!$E:$E,[1]Matriz!$BY:$BY)</f>
        <v>VIGENTE</v>
      </c>
    </row>
    <row r="297" spans="1:5" hidden="1" x14ac:dyDescent="0.35">
      <c r="A297" s="5" t="s">
        <v>19</v>
      </c>
      <c r="B297" s="7" t="s">
        <v>18</v>
      </c>
      <c r="C297" s="2">
        <f>_xlfn.XLOOKUP(A:A,[1]Matriz!$E:$E,[1]Matriz!$BU:$BU)</f>
        <v>0</v>
      </c>
      <c r="D297" s="3">
        <f>_xlfn.XLOOKUP(A:A,[1]Matriz!$E:$E,[1]Matriz!$BW:$BW)</f>
        <v>0</v>
      </c>
      <c r="E297" s="2" t="str">
        <f>_xlfn.XLOOKUP(A:A,[1]Matriz!$E:$E,[1]Matriz!$BY:$BY)</f>
        <v>SIN CURSO</v>
      </c>
    </row>
    <row r="298" spans="1:5" hidden="1" x14ac:dyDescent="0.35">
      <c r="A298" s="5" t="s">
        <v>17</v>
      </c>
      <c r="B298" s="5" t="s">
        <v>16</v>
      </c>
      <c r="C298" s="2" t="e">
        <f ca="1">_xlfn.XLOOKUP(A:A,[1]Matriz!$E:$E,[1]Matriz!$BU:$BU)</f>
        <v>#REF!</v>
      </c>
      <c r="D298" s="3">
        <f>_xlfn.XLOOKUP(A:A,[1]Matriz!$E:$E,[1]Matriz!$BW:$BW)</f>
        <v>0</v>
      </c>
      <c r="E298" s="2">
        <f>_xlfn.XLOOKUP(A:A,[1]Matriz!$E:$E,[1]Matriz!$BY:$BY)</f>
        <v>0</v>
      </c>
    </row>
    <row r="299" spans="1:5" hidden="1" x14ac:dyDescent="0.35">
      <c r="A299" s="5" t="s">
        <v>15</v>
      </c>
      <c r="B299" s="5" t="s">
        <v>14</v>
      </c>
      <c r="C299" s="2">
        <f>_xlfn.XLOOKUP(A:A,[1]Matriz!$E:$E,[1]Matriz!$BU:$BU)</f>
        <v>0</v>
      </c>
      <c r="D299" s="3">
        <f>_xlfn.XLOOKUP(A:A,[1]Matriz!$E:$E,[1]Matriz!$BW:$BW)</f>
        <v>0</v>
      </c>
      <c r="E299" s="2" t="str">
        <f ca="1">_xlfn.XLOOKUP(A:A,[1]Matriz!$E:$E,[1]Matriz!$BY:$BY)</f>
        <v>SIN CURSO</v>
      </c>
    </row>
    <row r="300" spans="1:5" hidden="1" x14ac:dyDescent="0.35">
      <c r="A300" s="5" t="s">
        <v>13</v>
      </c>
      <c r="B300" s="5" t="s">
        <v>12</v>
      </c>
      <c r="C300" s="2" t="e">
        <f>_xlfn.XLOOKUP(A:A,[1]Matriz!$E:$E,[1]Matriz!$BU:$BU)</f>
        <v>#N/A</v>
      </c>
      <c r="D300" s="3" t="e">
        <f>_xlfn.XLOOKUP(A:A,[1]Matriz!$E:$E,[1]Matriz!$BW:$BW)</f>
        <v>#N/A</v>
      </c>
      <c r="E300" s="2" t="e">
        <f>_xlfn.XLOOKUP(A:A,[1]Matriz!$E:$E,[1]Matriz!$BY:$BY)</f>
        <v>#N/A</v>
      </c>
    </row>
    <row r="301" spans="1:5" hidden="1" x14ac:dyDescent="0.35">
      <c r="A301" s="5" t="s">
        <v>11</v>
      </c>
      <c r="B301" s="5" t="s">
        <v>10</v>
      </c>
      <c r="C301" s="2" t="e">
        <f ca="1">_xlfn.XLOOKUP(A:A,[1]Matriz!$E:$E,[1]Matriz!$BU:$BU)</f>
        <v>#REF!</v>
      </c>
      <c r="D301" s="3">
        <f>_xlfn.XLOOKUP(A:A,[1]Matriz!$E:$E,[1]Matriz!$BW:$BW)</f>
        <v>0</v>
      </c>
      <c r="E301" s="2">
        <f>_xlfn.XLOOKUP(A:A,[1]Matriz!$E:$E,[1]Matriz!$BY:$BY)</f>
        <v>0</v>
      </c>
    </row>
    <row r="302" spans="1:5" hidden="1" x14ac:dyDescent="0.35">
      <c r="A302" s="6" t="s">
        <v>9</v>
      </c>
      <c r="B302" s="5" t="s">
        <v>8</v>
      </c>
      <c r="C302" s="2">
        <f>_xlfn.XLOOKUP(A:A,[1]Matriz!$E:$E,[1]Matriz!$BU:$BU)</f>
        <v>0</v>
      </c>
      <c r="D302" s="3">
        <f>_xlfn.XLOOKUP(A:A,[1]Matriz!$E:$E,[1]Matriz!$BW:$BW)</f>
        <v>0</v>
      </c>
      <c r="E302" s="2" t="str">
        <f ca="1">_xlfn.XLOOKUP(A:A,[1]Matriz!$E:$E,[1]Matriz!$BY:$BY)</f>
        <v>SIN CURSO</v>
      </c>
    </row>
    <row r="303" spans="1:5" hidden="1" x14ac:dyDescent="0.35">
      <c r="A303" s="6" t="s">
        <v>7</v>
      </c>
      <c r="B303" s="5" t="s">
        <v>6</v>
      </c>
      <c r="C303" s="2">
        <f>_xlfn.XLOOKUP(A:A,[1]Matriz!$E:$E,[1]Matriz!$BU:$BU)</f>
        <v>0</v>
      </c>
      <c r="D303" s="3">
        <f>_xlfn.XLOOKUP(A:A,[1]Matriz!$E:$E,[1]Matriz!$BW:$BW)</f>
        <v>0</v>
      </c>
      <c r="E303" s="2" t="str">
        <f ca="1">_xlfn.XLOOKUP(A:A,[1]Matriz!$E:$E,[1]Matriz!$BY:$BY)</f>
        <v>SIN CURSO</v>
      </c>
    </row>
    <row r="304" spans="1:5" hidden="1" x14ac:dyDescent="0.35">
      <c r="A304" s="5" t="s">
        <v>5</v>
      </c>
      <c r="B304" s="5" t="s">
        <v>4</v>
      </c>
      <c r="C304" s="2" t="e">
        <f ca="1">_xlfn.XLOOKUP(A:A,[1]Matriz!$E:$E,[1]Matriz!$BU:$BU)</f>
        <v>#REF!</v>
      </c>
      <c r="D304" s="3">
        <f>_xlfn.XLOOKUP(A:A,[1]Matriz!$E:$E,[1]Matriz!$BW:$BW)</f>
        <v>0</v>
      </c>
      <c r="E304" s="2">
        <f>_xlfn.XLOOKUP(A:A,[1]Matriz!$E:$E,[1]Matriz!$BY:$BY)</f>
        <v>0</v>
      </c>
    </row>
    <row r="305" spans="1:5" hidden="1" x14ac:dyDescent="0.35">
      <c r="A305" s="5" t="s">
        <v>3</v>
      </c>
      <c r="B305" s="5" t="s">
        <v>2</v>
      </c>
      <c r="C305" s="2" t="e">
        <f>_xlfn.XLOOKUP(A:A,[1]Matriz!$E:$E,[1]Matriz!$BU:$BU)</f>
        <v>#N/A</v>
      </c>
      <c r="D305" s="3" t="e">
        <f>_xlfn.XLOOKUP(A:A,[1]Matriz!$E:$E,[1]Matriz!$BW:$BW)</f>
        <v>#N/A</v>
      </c>
      <c r="E305" s="2" t="e">
        <f>_xlfn.XLOOKUP(A:A,[1]Matriz!$E:$E,[1]Matriz!$BY:$BY)</f>
        <v>#N/A</v>
      </c>
    </row>
    <row r="306" spans="1:5" hidden="1" x14ac:dyDescent="0.35">
      <c r="A306" s="4" t="s">
        <v>1</v>
      </c>
      <c r="B306" s="4" t="s">
        <v>0</v>
      </c>
      <c r="C306" s="2" t="e">
        <f ca="1">_xlfn.XLOOKUP(A:A,[1]Matriz!$E:$E,[1]Matriz!$BU:$BU)</f>
        <v>#REF!</v>
      </c>
      <c r="D306" s="3">
        <f>_xlfn.XLOOKUP(A:A,[1]Matriz!$E:$E,[1]Matriz!$BW:$BW)</f>
        <v>0</v>
      </c>
      <c r="E306" s="2">
        <f>_xlfn.XLOOKUP(A:A,[1]Matriz!$E:$E,[1]Matriz!$BY:$BY)</f>
        <v>0</v>
      </c>
    </row>
  </sheetData>
  <autoFilter ref="A1:E306" xr:uid="{6ACE7A52-13AE-48CC-8646-26CEDE2D6565}">
    <filterColumn colId="1">
      <filters>
        <filter val="CRISTOPHER BRAVO BRUNA"/>
      </filters>
    </filterColumn>
  </autoFilter>
  <conditionalFormatting sqref="A1:A306">
    <cfRule type="duplicateValues" dxfId="1" priority="2"/>
  </conditionalFormatting>
  <conditionalFormatting sqref="E1:E306 C2:D306">
    <cfRule type="containsText" dxfId="0" priority="1" operator="containsText" text="VIGENTE">
      <formula>NOT(ISERROR(SEARCH("VIGENTE",C1)))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4492-8899-4F10-86D9-05E007C3EE5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be8688-6625-4e52-80d8-c17f3a9ae08a}" enabled="0" method="" siteId="{58be8688-6625-4e52-80d8-c17f3a9ae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CAEX 930E-980E5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ALFREDO   BRAVO BRUNA</dc:creator>
  <cp:lastModifiedBy>CRISTOPHER ALFREDO   BRAVO BRUNA</cp:lastModifiedBy>
  <dcterms:created xsi:type="dcterms:W3CDTF">2026-06-06T16:24:44Z</dcterms:created>
  <dcterms:modified xsi:type="dcterms:W3CDTF">2026-06-06T16:26:26Z</dcterms:modified>
</cp:coreProperties>
</file>